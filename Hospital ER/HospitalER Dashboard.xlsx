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avina\Downloads\"/>
    </mc:Choice>
  </mc:AlternateContent>
  <xr:revisionPtr revIDLastSave="0" documentId="13_ncr:1_{7D13069D-715D-45C8-93C2-35386BAC2463}" xr6:coauthVersionLast="47" xr6:coauthVersionMax="47" xr10:uidLastSave="{00000000-0000-0000-0000-000000000000}"/>
  <bookViews>
    <workbookView xWindow="-120" yWindow="-120" windowWidth="29040" windowHeight="15720" activeTab="4" xr2:uid="{2BFFDCDF-D217-4E09-8347-306174B56B1B}"/>
  </bookViews>
  <sheets>
    <sheet name="Dashboard" sheetId="2" r:id="rId1"/>
    <sheet name="Pivot Report" sheetId="1" r:id="rId2"/>
    <sheet name="Daily ER No. of Patient" sheetId="3" r:id="rId3"/>
    <sheet name="Average wait time daily trend" sheetId="4" r:id="rId4"/>
    <sheet name="Satisfaction score daily trend" sheetId="5" r:id="rId5"/>
  </sheets>
  <definedNames>
    <definedName name="Slicer_Date__Month">#N/A</definedName>
    <definedName name="Slicer_Date__Year">#N/A</definedName>
  </definedNames>
  <calcPr calcId="191029"/>
  <pivotCaches>
    <pivotCache cacheId="195" r:id="rId6"/>
    <pivotCache cacheId="198" r:id="rId7"/>
    <pivotCache cacheId="201" r:id="rId8"/>
    <pivotCache cacheId="204" r:id="rId9"/>
    <pivotCache cacheId="207" r:id="rId10"/>
    <pivotCache cacheId="210" r:id="rId11"/>
    <pivotCache cacheId="213" r:id="rId12"/>
    <pivotCache cacheId="216" r:id="rId13"/>
    <pivotCache cacheId="219" r:id="rId14"/>
    <pivotCache cacheId="222" r:id="rId15"/>
    <pivotCache cacheId="225" r:id="rId16"/>
    <pivotCache cacheId="228"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d45fc62c-9eda-4bb6-ac35-42aae201c02a" name="Hospital Emergency Room Data" connection="Query - Hospital Emergency Room Data"/>
          <x15:modelTable id="Calendar_Table_8db8ff33-d298-4a9b-8e54-0d9f7a02dfd5"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8" i="1" l="1"/>
  <c r="B28" i="1"/>
  <c r="C28" i="1"/>
  <c r="C27" i="1"/>
  <c r="B27" i="1"/>
  <c r="A2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D0FB56-555C-4211-AECF-06BD763580B2}" name="Query - Calendar_Table" description="Connection to the 'Calendar_Table' query in the workbook." type="100" refreshedVersion="7" minRefreshableVersion="5">
    <extLst>
      <ext xmlns:x15="http://schemas.microsoft.com/office/spreadsheetml/2010/11/main" uri="{DE250136-89BD-433C-8126-D09CA5730AF9}">
        <x15:connection id="f9482437-b17e-41a7-ba7b-08a6d4c12d90"/>
      </ext>
    </extLst>
  </connection>
  <connection id="2" xr16:uid="{10D46420-2474-4CA9-92B3-EE74EDD6E6A3}"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4a34122e-10a2-4dea-a6af-0115b37a5f2a"/>
      </ext>
    </extLst>
  </connection>
  <connection id="3" xr16:uid="{FE1F8322-0D9D-4650-A143-D563AB9FE01D}"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<sst xmlns="http://schemas.openxmlformats.org/spreadsheetml/2006/main" count="80" uniqueCount="49">
  <si>
    <t>Grand Total</t>
  </si>
  <si>
    <t>Distinct Count of Patient Id</t>
  </si>
  <si>
    <t>No. Of Patient</t>
  </si>
  <si>
    <t>Average of Patient Waittime</t>
  </si>
  <si>
    <t>Average of Patient Satisfaction Score</t>
  </si>
  <si>
    <t>2024</t>
  </si>
  <si>
    <t>1-Apr</t>
  </si>
  <si>
    <t>2-Apr</t>
  </si>
  <si>
    <t>3-Apr</t>
  </si>
  <si>
    <t>4-Apr</t>
  </si>
  <si>
    <t>5-Apr</t>
  </si>
  <si>
    <t>6-Apr</t>
  </si>
  <si>
    <t>7-Apr</t>
  </si>
  <si>
    <t>8-Apr</t>
  </si>
  <si>
    <t>9-Apr</t>
  </si>
  <si>
    <t>10-Apr</t>
  </si>
  <si>
    <t>Daily trends of no. of patient</t>
  </si>
  <si>
    <t>Average wait time</t>
  </si>
  <si>
    <t>Satisfaction score daily trend</t>
  </si>
  <si>
    <t>Admitted</t>
  </si>
  <si>
    <t>Not Admitted</t>
  </si>
  <si>
    <t>Count of Patient Admission Flag</t>
  </si>
  <si>
    <t>Count of Patient Admission Flag2</t>
  </si>
  <si>
    <t>Admission Status</t>
  </si>
  <si>
    <t>No. of Patient</t>
  </si>
  <si>
    <r>
      <t xml:space="preserve">   </t>
    </r>
    <r>
      <rPr>
        <b/>
        <sz val="9"/>
        <color theme="0"/>
        <rFont val="Calibri"/>
        <family val="2"/>
        <scheme val="minor"/>
      </rPr>
      <t xml:space="preserve"> %Status</t>
    </r>
  </si>
  <si>
    <t xml:space="preserve"> 70-79</t>
  </si>
  <si>
    <t>0-09</t>
  </si>
  <si>
    <t>10-19</t>
  </si>
  <si>
    <t>20-29</t>
  </si>
  <si>
    <t>30-39</t>
  </si>
  <si>
    <t>40-49</t>
  </si>
  <si>
    <t>50-59</t>
  </si>
  <si>
    <t>60-69</t>
  </si>
  <si>
    <t>Count of Age Group</t>
  </si>
  <si>
    <t>Delay</t>
  </si>
  <si>
    <t>Ontime</t>
  </si>
  <si>
    <t>Count of Patient Attend Status</t>
  </si>
  <si>
    <t>Count of Patient Gender</t>
  </si>
  <si>
    <t>Female</t>
  </si>
  <si>
    <t>Male</t>
  </si>
  <si>
    <t>Count of Department Referral</t>
  </si>
  <si>
    <t>Cardiology</t>
  </si>
  <si>
    <t>Gastroenterology</t>
  </si>
  <si>
    <t>General Practice</t>
  </si>
  <si>
    <t>None</t>
  </si>
  <si>
    <t>Orthopedics</t>
  </si>
  <si>
    <t>Physiotherapy</t>
  </si>
  <si>
    <t>Renal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</si>
</sst>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9"/>
      <color theme="1"/>
      <name val="Calibri"/>
      <family val="2"/>
      <scheme val="minor"/>
    </font>
    <font>
      <b/>
      <sz val="9"/>
      <color theme="0"/>
      <name val="Calibri"/>
      <family val="2"/>
      <scheme val="minor"/>
    </font>
    <font>
      <sz val="8"/>
      <name val="Calibri"/>
      <family val="2"/>
      <scheme val="minor"/>
    </font>
  </fonts>
  <fills count="4">
    <fill>
      <patternFill patternType="none"/>
    </fill>
    <fill>
      <patternFill patternType="gray125"/>
    </fill>
    <fill>
      <patternFill patternType="solid">
        <fgColor rgb="FF92D050"/>
        <bgColor indexed="64"/>
      </patternFill>
    </fill>
    <fill>
      <patternFill patternType="solid">
        <fgColor theme="1" tint="0.34998626667073579"/>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left"/>
    </xf>
    <xf numFmtId="0" fontId="0" fillId="0" borderId="0" xfId="0" applyNumberFormat="1"/>
    <xf numFmtId="10" fontId="0" fillId="0" borderId="0" xfId="0" applyNumberFormat="1"/>
    <xf numFmtId="2" fontId="0" fillId="0" borderId="0" xfId="0" applyNumberFormat="1"/>
    <xf numFmtId="0" fontId="0" fillId="3" borderId="0" xfId="0" applyFill="1"/>
    <xf numFmtId="1" fontId="0" fillId="0" borderId="0" xfId="0" applyNumberFormat="1"/>
    <xf numFmtId="0" fontId="1" fillId="2" borderId="0" xfId="0" applyFont="1" applyFill="1"/>
    <xf numFmtId="0" fontId="1" fillId="0" borderId="0" xfId="0" applyFont="1"/>
    <xf numFmtId="1" fontId="1" fillId="0" borderId="0" xfId="0" applyNumberFormat="1" applyFont="1"/>
    <xf numFmtId="10" fontId="1" fillId="0" borderId="0" xfId="0" applyNumberFormat="1" applyFont="1"/>
    <xf numFmtId="0" fontId="2" fillId="2" borderId="0" xfId="0" applyFont="1" applyFill="1"/>
  </cellXfs>
  <cellStyles count="1">
    <cellStyle name="Normal" xfId="0" builtinId="0"/>
  </cellStyles>
  <dxfs count="109">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1" formatCode="0"/>
    </dxf>
    <dxf>
      <numFmt numFmtId="1" formatCode="0"/>
    </dxf>
    <dxf>
      <numFmt numFmtId="2" formatCode="0.00"/>
    </dxf>
    <dxf>
      <numFmt numFmtId="2" formatCode="0.00"/>
    </dxf>
    <dxf>
      <numFmt numFmtId="1" formatCode="0"/>
    </dxf>
    <dxf>
      <numFmt numFmtId="2" formatCode="0.00"/>
    </dxf>
    <dxf>
      <numFmt numFmtId="2" formatCode="0.00"/>
    </dxf>
    <dxf>
      <font>
        <b/>
        <color theme="1"/>
      </font>
      <border>
        <bottom style="thin">
          <color theme="9"/>
        </bottom>
        <vertical/>
        <horizontal/>
      </border>
    </dxf>
    <dxf>
      <font>
        <sz val="7"/>
        <color theme="1"/>
      </font>
      <border>
        <left style="thin">
          <color theme="9"/>
        </left>
        <right style="thin">
          <color theme="9"/>
        </right>
        <top style="thin">
          <color theme="9"/>
        </top>
        <bottom style="thin">
          <color theme="9"/>
        </bottom>
        <vertical/>
        <horizontal/>
      </border>
    </dxf>
    <dxf>
      <font>
        <b val="0"/>
        <i val="0"/>
        <sz val="8"/>
      </font>
      <fill>
        <patternFill>
          <bgColor theme="9" tint="0.59996337778862885"/>
        </patternFill>
      </fill>
    </dxf>
    <dxf>
      <font>
        <sz val="8"/>
      </font>
      <fill>
        <patternFill>
          <bgColor rgb="FF92D050"/>
        </patternFill>
      </fill>
    </dxf>
  </dxfs>
  <tableStyles count="3" defaultTableStyle="TableStyleMedium2" defaultPivotStyle="PivotStyleLight16">
    <tableStyle name=" Style 1" pivot="0" table="0" count="1" xr9:uid="{55579737-118A-4D0C-9F01-CB9DFD24F819}">
      <tableStyleElement type="wholeTable" dxfId="108"/>
    </tableStyle>
    <tableStyle name="MYStyle 1" pivot="0" table="0" count="1" xr9:uid="{9C2205A8-07CB-484C-BBEC-9EA8B36081FA}">
      <tableStyleElement type="wholeTable" dxfId="107"/>
    </tableStyle>
    <tableStyle name="SlicerStyle2" pivot="0" table="0" count="10" xr9:uid="{556CD5C4-673A-4BF9-8897-9D926684C7B7}">
      <tableStyleElement type="wholeTable" dxfId="106"/>
      <tableStyleElement type="headerRow" dxfId="105"/>
    </tableStyle>
  </tableStyles>
  <colors>
    <mruColors>
      <color rgb="FFFFFAEB"/>
      <color rgb="FFFFF0C5"/>
      <color rgb="FF868282"/>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 Style 1"/>
        <x14:slicerStyle name="MYStyle 1"/>
        <x14:slicerStyle name="SlicerStyle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[ExcelProjectHospitalERDashboard.xlsx]Pivot Report!PivotTable4</c:name>
    <c:fmtId val="3"/>
  </c:pivotSource>
  <c:chart>
    <c:autoTitleDeleted val="1"/>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2.1368238061151446E-2"/>
          <c:w val="1"/>
          <c:h val="0.68794326241134751"/>
        </c:manualLayout>
      </c:layout>
      <c:areaChart>
        <c:grouping val="standard"/>
        <c:varyColors val="0"/>
        <c:ser>
          <c:idx val="0"/>
          <c:order val="0"/>
          <c:tx>
            <c:strRef>
              <c:f>'Pivot Report'!$F$4</c:f>
              <c:strCache>
                <c:ptCount val="1"/>
                <c:pt idx="0">
                  <c:v>Total</c:v>
                </c:pt>
              </c:strCache>
            </c:strRef>
          </c:tx>
          <c:spPr>
            <a:solidFill>
              <a:schemeClr val="accent6"/>
            </a:solidFill>
            <a:ln>
              <a:noFill/>
            </a:ln>
            <a:effectLst/>
          </c:spPr>
          <c:cat>
            <c:strRef>
              <c:f>'Pivot Report'!$E$5:$E$15</c:f>
              <c:strCache>
                <c:ptCount val="10"/>
                <c:pt idx="0">
                  <c:v>1-Apr</c:v>
                </c:pt>
                <c:pt idx="1">
                  <c:v>2-Apr</c:v>
                </c:pt>
                <c:pt idx="2">
                  <c:v>3-Apr</c:v>
                </c:pt>
                <c:pt idx="3">
                  <c:v>4-Apr</c:v>
                </c:pt>
                <c:pt idx="4">
                  <c:v>5-Apr</c:v>
                </c:pt>
                <c:pt idx="5">
                  <c:v>6-Apr</c:v>
                </c:pt>
                <c:pt idx="6">
                  <c:v>7-Apr</c:v>
                </c:pt>
                <c:pt idx="7">
                  <c:v>8-Apr</c:v>
                </c:pt>
                <c:pt idx="8">
                  <c:v>9-Apr</c:v>
                </c:pt>
                <c:pt idx="9">
                  <c:v>10-Apr</c:v>
                </c:pt>
              </c:strCache>
            </c:strRef>
          </c:cat>
          <c:val>
            <c:numRef>
              <c:f>'Pivot Report'!$F$5:$F$15</c:f>
              <c:numCache>
                <c:formatCode>General</c:formatCode>
                <c:ptCount val="10"/>
                <c:pt idx="0">
                  <c:v>22</c:v>
                </c:pt>
                <c:pt idx="1">
                  <c:v>12</c:v>
                </c:pt>
                <c:pt idx="2">
                  <c:v>14</c:v>
                </c:pt>
                <c:pt idx="3">
                  <c:v>20</c:v>
                </c:pt>
                <c:pt idx="4">
                  <c:v>15</c:v>
                </c:pt>
                <c:pt idx="5">
                  <c:v>15</c:v>
                </c:pt>
                <c:pt idx="6">
                  <c:v>9</c:v>
                </c:pt>
                <c:pt idx="7">
                  <c:v>17</c:v>
                </c:pt>
                <c:pt idx="8">
                  <c:v>16</c:v>
                </c:pt>
                <c:pt idx="9">
                  <c:v>16</c:v>
                </c:pt>
              </c:numCache>
            </c:numRef>
          </c:val>
          <c:extLst>
            <c:ext xmlns:c16="http://schemas.microsoft.com/office/drawing/2014/chart" uri="{C3380CC4-5D6E-409C-BE32-E72D297353CC}">
              <c16:uniqueId val="{00000000-08E8-4201-BFA1-EB8C58E76946}"/>
            </c:ext>
          </c:extLst>
        </c:ser>
        <c:dLbls>
          <c:showLegendKey val="0"/>
          <c:showVal val="0"/>
          <c:showCatName val="0"/>
          <c:showSerName val="0"/>
          <c:showPercent val="0"/>
          <c:showBubbleSize val="0"/>
        </c:dLbls>
        <c:axId val="107394016"/>
        <c:axId val="107392768"/>
      </c:areaChart>
      <c:catAx>
        <c:axId val="107394016"/>
        <c:scaling>
          <c:orientation val="minMax"/>
        </c:scaling>
        <c:delete val="1"/>
        <c:axPos val="b"/>
        <c:numFmt formatCode="General" sourceLinked="1"/>
        <c:majorTickMark val="out"/>
        <c:minorTickMark val="none"/>
        <c:tickLblPos val="nextTo"/>
        <c:crossAx val="107392768"/>
        <c:crosses val="autoZero"/>
        <c:auto val="1"/>
        <c:lblAlgn val="ctr"/>
        <c:lblOffset val="100"/>
        <c:noMultiLvlLbl val="0"/>
      </c:catAx>
      <c:valAx>
        <c:axId val="107392768"/>
        <c:scaling>
          <c:orientation val="minMax"/>
        </c:scaling>
        <c:delete val="1"/>
        <c:axPos val="l"/>
        <c:numFmt formatCode="General" sourceLinked="1"/>
        <c:majorTickMark val="none"/>
        <c:minorTickMark val="none"/>
        <c:tickLblPos val="nextTo"/>
        <c:crossAx val="10739401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[ExcelProjectHospitalERDashboard.xlsx]Pivot Report!PivotTable5</c:name>
    <c:fmtId val="11"/>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322258498175533E-2"/>
          <c:y val="0.19753086419753085"/>
          <c:w val="0.94501093188594143"/>
          <c:h val="0.76743839311752693"/>
        </c:manualLayout>
      </c:layout>
      <c:areaChart>
        <c:grouping val="standard"/>
        <c:varyColors val="0"/>
        <c:ser>
          <c:idx val="0"/>
          <c:order val="0"/>
          <c:tx>
            <c:strRef>
              <c:f>'Pivot Report'!$J$4</c:f>
              <c:strCache>
                <c:ptCount val="1"/>
                <c:pt idx="0">
                  <c:v>Total</c:v>
                </c:pt>
              </c:strCache>
            </c:strRef>
          </c:tx>
          <c:spPr>
            <a:solidFill>
              <a:schemeClr val="accent6"/>
            </a:solidFill>
            <a:ln>
              <a:noFill/>
            </a:ln>
            <a:effectLst/>
          </c:spPr>
          <c:cat>
            <c:strRef>
              <c:f>'Pivot Report'!$I$5:$I$15</c:f>
              <c:strCache>
                <c:ptCount val="10"/>
                <c:pt idx="0">
                  <c:v>1-Apr</c:v>
                </c:pt>
                <c:pt idx="1">
                  <c:v>2-Apr</c:v>
                </c:pt>
                <c:pt idx="2">
                  <c:v>3-Apr</c:v>
                </c:pt>
                <c:pt idx="3">
                  <c:v>4-Apr</c:v>
                </c:pt>
                <c:pt idx="4">
                  <c:v>5-Apr</c:v>
                </c:pt>
                <c:pt idx="5">
                  <c:v>6-Apr</c:v>
                </c:pt>
                <c:pt idx="6">
                  <c:v>7-Apr</c:v>
                </c:pt>
                <c:pt idx="7">
                  <c:v>8-Apr</c:v>
                </c:pt>
                <c:pt idx="8">
                  <c:v>9-Apr</c:v>
                </c:pt>
                <c:pt idx="9">
                  <c:v>10-Apr</c:v>
                </c:pt>
              </c:strCache>
            </c:strRef>
          </c:cat>
          <c:val>
            <c:numRef>
              <c:f>'Pivot Report'!$J$5:$J$15</c:f>
              <c:numCache>
                <c:formatCode>0.00</c:formatCode>
                <c:ptCount val="10"/>
                <c:pt idx="0">
                  <c:v>34.5</c:v>
                </c:pt>
                <c:pt idx="1">
                  <c:v>34.583333333333336</c:v>
                </c:pt>
                <c:pt idx="2">
                  <c:v>35.071428571428569</c:v>
                </c:pt>
                <c:pt idx="3">
                  <c:v>34.049999999999997</c:v>
                </c:pt>
                <c:pt idx="4">
                  <c:v>38.866666666666667</c:v>
                </c:pt>
                <c:pt idx="5">
                  <c:v>30.4</c:v>
                </c:pt>
                <c:pt idx="6">
                  <c:v>33.777777777777779</c:v>
                </c:pt>
                <c:pt idx="7">
                  <c:v>42.823529411764703</c:v>
                </c:pt>
                <c:pt idx="8">
                  <c:v>32</c:v>
                </c:pt>
                <c:pt idx="9">
                  <c:v>36.5</c:v>
                </c:pt>
              </c:numCache>
            </c:numRef>
          </c:val>
          <c:extLst>
            <c:ext xmlns:c16="http://schemas.microsoft.com/office/drawing/2014/chart" uri="{C3380CC4-5D6E-409C-BE32-E72D297353CC}">
              <c16:uniqueId val="{00000000-7BC2-4F4B-9A7B-050AACF80FFC}"/>
            </c:ext>
          </c:extLst>
        </c:ser>
        <c:dLbls>
          <c:showLegendKey val="0"/>
          <c:showVal val="0"/>
          <c:showCatName val="0"/>
          <c:showSerName val="0"/>
          <c:showPercent val="0"/>
          <c:showBubbleSize val="0"/>
        </c:dLbls>
        <c:axId val="112095872"/>
        <c:axId val="112097120"/>
      </c:areaChart>
      <c:catAx>
        <c:axId val="112095872"/>
        <c:scaling>
          <c:orientation val="minMax"/>
        </c:scaling>
        <c:delete val="1"/>
        <c:axPos val="b"/>
        <c:numFmt formatCode="General" sourceLinked="1"/>
        <c:majorTickMark val="out"/>
        <c:minorTickMark val="none"/>
        <c:tickLblPos val="nextTo"/>
        <c:crossAx val="112097120"/>
        <c:crosses val="autoZero"/>
        <c:auto val="1"/>
        <c:lblAlgn val="ctr"/>
        <c:lblOffset val="100"/>
        <c:noMultiLvlLbl val="0"/>
      </c:catAx>
      <c:valAx>
        <c:axId val="112097120"/>
        <c:scaling>
          <c:orientation val="minMax"/>
        </c:scaling>
        <c:delete val="1"/>
        <c:axPos val="l"/>
        <c:numFmt formatCode="0.00" sourceLinked="1"/>
        <c:majorTickMark val="none"/>
        <c:minorTickMark val="none"/>
        <c:tickLblPos val="nextTo"/>
        <c:crossAx val="11209587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[ExcelProjectHospitalERDashboard.xlsx]Pivot Report!PivotTable6</c:name>
    <c:fmtId val="19"/>
  </c:pivotSource>
  <c:chart>
    <c:autoTitleDeleted val="1"/>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Report'!$M$4</c:f>
              <c:strCache>
                <c:ptCount val="1"/>
                <c:pt idx="0">
                  <c:v>Total</c:v>
                </c:pt>
              </c:strCache>
            </c:strRef>
          </c:tx>
          <c:spPr>
            <a:solidFill>
              <a:schemeClr val="accent6"/>
            </a:solidFill>
            <a:ln>
              <a:noFill/>
            </a:ln>
            <a:effectLst/>
          </c:spPr>
          <c:invertIfNegative val="0"/>
          <c:cat>
            <c:strRef>
              <c:f>'Pivot Report'!$L$5:$L$15</c:f>
              <c:strCache>
                <c:ptCount val="10"/>
                <c:pt idx="0">
                  <c:v>1-Apr</c:v>
                </c:pt>
                <c:pt idx="1">
                  <c:v>2-Apr</c:v>
                </c:pt>
                <c:pt idx="2">
                  <c:v>3-Apr</c:v>
                </c:pt>
                <c:pt idx="3">
                  <c:v>4-Apr</c:v>
                </c:pt>
                <c:pt idx="4">
                  <c:v>5-Apr</c:v>
                </c:pt>
                <c:pt idx="5">
                  <c:v>6-Apr</c:v>
                </c:pt>
                <c:pt idx="6">
                  <c:v>7-Apr</c:v>
                </c:pt>
                <c:pt idx="7">
                  <c:v>8-Apr</c:v>
                </c:pt>
                <c:pt idx="8">
                  <c:v>9-Apr</c:v>
                </c:pt>
                <c:pt idx="9">
                  <c:v>10-Apr</c:v>
                </c:pt>
              </c:strCache>
            </c:strRef>
          </c:cat>
          <c:val>
            <c:numRef>
              <c:f>'Pivot Report'!$M$5:$M$15</c:f>
              <c:numCache>
                <c:formatCode>0.00</c:formatCode>
                <c:ptCount val="10"/>
                <c:pt idx="0">
                  <c:v>4.8</c:v>
                </c:pt>
                <c:pt idx="1">
                  <c:v>7</c:v>
                </c:pt>
                <c:pt idx="2">
                  <c:v>2.75</c:v>
                </c:pt>
                <c:pt idx="3">
                  <c:v>5.666666666666667</c:v>
                </c:pt>
                <c:pt idx="4">
                  <c:v>6</c:v>
                </c:pt>
                <c:pt idx="5">
                  <c:v>5.8</c:v>
                </c:pt>
                <c:pt idx="6">
                  <c:v>2</c:v>
                </c:pt>
                <c:pt idx="7">
                  <c:v>4.5</c:v>
                </c:pt>
                <c:pt idx="8">
                  <c:v>5.6</c:v>
                </c:pt>
                <c:pt idx="9">
                  <c:v>6.8</c:v>
                </c:pt>
              </c:numCache>
            </c:numRef>
          </c:val>
          <c:extLst>
            <c:ext xmlns:c16="http://schemas.microsoft.com/office/drawing/2014/chart" uri="{C3380CC4-5D6E-409C-BE32-E72D297353CC}">
              <c16:uniqueId val="{00000000-E642-4699-92CF-2645B0B2BBC1}"/>
            </c:ext>
          </c:extLst>
        </c:ser>
        <c:dLbls>
          <c:showLegendKey val="0"/>
          <c:showVal val="0"/>
          <c:showCatName val="0"/>
          <c:showSerName val="0"/>
          <c:showPercent val="0"/>
          <c:showBubbleSize val="0"/>
        </c:dLbls>
        <c:gapWidth val="219"/>
        <c:overlap val="-27"/>
        <c:axId val="398641023"/>
        <c:axId val="398643519"/>
      </c:barChart>
      <c:catAx>
        <c:axId val="398641023"/>
        <c:scaling>
          <c:orientation val="minMax"/>
        </c:scaling>
        <c:delete val="1"/>
        <c:axPos val="b"/>
        <c:numFmt formatCode="General" sourceLinked="1"/>
        <c:majorTickMark val="none"/>
        <c:minorTickMark val="none"/>
        <c:tickLblPos val="nextTo"/>
        <c:crossAx val="398643519"/>
        <c:crosses val="autoZero"/>
        <c:auto val="1"/>
        <c:lblAlgn val="ctr"/>
        <c:lblOffset val="100"/>
        <c:noMultiLvlLbl val="0"/>
      </c:catAx>
      <c:valAx>
        <c:axId val="398643519"/>
        <c:scaling>
          <c:orientation val="minMax"/>
        </c:scaling>
        <c:delete val="1"/>
        <c:axPos val="l"/>
        <c:numFmt formatCode="0.00" sourceLinked="1"/>
        <c:majorTickMark val="none"/>
        <c:minorTickMark val="none"/>
        <c:tickLblPos val="nextTo"/>
        <c:crossAx val="39864102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[ExcelProjectHospitalERDashboard.xlsx]Pivot Report!PivotTable8</c:name>
    <c:fmtId val="17"/>
  </c:pivotSource>
  <c:chart>
    <c:autoTitleDeleted val="1"/>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051385554169242E-2"/>
          <c:y val="6.2638059504306924E-3"/>
          <c:w val="0.90458715596330275"/>
          <c:h val="0.74576759723216413"/>
        </c:manualLayout>
      </c:layout>
      <c:bar3DChart>
        <c:barDir val="col"/>
        <c:grouping val="clustered"/>
        <c:varyColors val="0"/>
        <c:ser>
          <c:idx val="0"/>
          <c:order val="0"/>
          <c:tx>
            <c:strRef>
              <c:f>'Pivot Report'!$B$32</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Report'!$A$33:$A$41</c:f>
              <c:strCache>
                <c:ptCount val="8"/>
                <c:pt idx="0">
                  <c:v> 70-79</c:v>
                </c:pt>
                <c:pt idx="1">
                  <c:v>0-09</c:v>
                </c:pt>
                <c:pt idx="2">
                  <c:v>10-19</c:v>
                </c:pt>
                <c:pt idx="3">
                  <c:v>20-29</c:v>
                </c:pt>
                <c:pt idx="4">
                  <c:v>30-39</c:v>
                </c:pt>
                <c:pt idx="5">
                  <c:v>40-49</c:v>
                </c:pt>
                <c:pt idx="6">
                  <c:v>50-59</c:v>
                </c:pt>
                <c:pt idx="7">
                  <c:v>60-69</c:v>
                </c:pt>
              </c:strCache>
            </c:strRef>
          </c:cat>
          <c:val>
            <c:numRef>
              <c:f>'Pivot Report'!$B$33:$B$41</c:f>
              <c:numCache>
                <c:formatCode>0</c:formatCode>
                <c:ptCount val="8"/>
                <c:pt idx="0">
                  <c:v>12</c:v>
                </c:pt>
                <c:pt idx="1">
                  <c:v>18</c:v>
                </c:pt>
                <c:pt idx="2">
                  <c:v>26</c:v>
                </c:pt>
                <c:pt idx="3">
                  <c:v>25</c:v>
                </c:pt>
                <c:pt idx="4">
                  <c:v>16</c:v>
                </c:pt>
                <c:pt idx="5">
                  <c:v>15</c:v>
                </c:pt>
                <c:pt idx="6">
                  <c:v>23</c:v>
                </c:pt>
                <c:pt idx="7">
                  <c:v>21</c:v>
                </c:pt>
              </c:numCache>
            </c:numRef>
          </c:val>
          <c:extLst>
            <c:ext xmlns:c16="http://schemas.microsoft.com/office/drawing/2014/chart" uri="{C3380CC4-5D6E-409C-BE32-E72D297353CC}">
              <c16:uniqueId val="{00000000-8D89-4653-9E04-805DDDC616DD}"/>
            </c:ext>
          </c:extLst>
        </c:ser>
        <c:dLbls>
          <c:showLegendKey val="0"/>
          <c:showVal val="1"/>
          <c:showCatName val="0"/>
          <c:showSerName val="0"/>
          <c:showPercent val="0"/>
          <c:showBubbleSize val="0"/>
        </c:dLbls>
        <c:gapWidth val="150"/>
        <c:shape val="box"/>
        <c:axId val="542269744"/>
        <c:axId val="542273072"/>
        <c:axId val="0"/>
      </c:bar3DChart>
      <c:catAx>
        <c:axId val="54226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r>
                  <a:rPr lang="en-US" sz="800" b="1">
                    <a:solidFill>
                      <a:schemeClr val="tx1">
                        <a:lumMod val="50000"/>
                        <a:lumOff val="50000"/>
                      </a:schemeClr>
                    </a:solidFill>
                  </a:rPr>
                  <a:t>No.</a:t>
                </a:r>
                <a:r>
                  <a:rPr lang="en-US" sz="800" b="1" baseline="0">
                    <a:solidFill>
                      <a:schemeClr val="tx1">
                        <a:lumMod val="50000"/>
                        <a:lumOff val="50000"/>
                      </a:schemeClr>
                    </a:solidFill>
                  </a:rPr>
                  <a:t> of patient by Age Group</a:t>
                </a:r>
                <a:endParaRPr lang="en-US" sz="800" b="1">
                  <a:solidFill>
                    <a:schemeClr val="tx1">
                      <a:lumMod val="50000"/>
                      <a:lumOff val="50000"/>
                    </a:scheme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273072"/>
        <c:crosses val="autoZero"/>
        <c:auto val="1"/>
        <c:lblAlgn val="ctr"/>
        <c:lblOffset val="100"/>
        <c:noMultiLvlLbl val="0"/>
      </c:catAx>
      <c:valAx>
        <c:axId val="542273072"/>
        <c:scaling>
          <c:orientation val="minMax"/>
        </c:scaling>
        <c:delete val="1"/>
        <c:axPos val="l"/>
        <c:numFmt formatCode="0" sourceLinked="1"/>
        <c:majorTickMark val="out"/>
        <c:minorTickMark val="none"/>
        <c:tickLblPos val="nextTo"/>
        <c:crossAx val="54226974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[ExcelProjectHospitalERDashboard.xlsx]Pivot Report!PivotTable9</c:name>
    <c:fmtId val="22"/>
  </c:pivotSource>
  <c:chart>
    <c:title>
      <c:tx>
        <c:rich>
          <a:bodyPr rot="0" spcFirstLastPara="1" vertOverflow="ellipsis" vert="horz" wrap="square" anchor="ctr" anchorCtr="1"/>
          <a:lstStyle/>
          <a:p>
            <a:pPr>
              <a:defRPr sz="810" b="1" i="0" u="none" strike="noStrike" kern="1200" cap="small" spc="50" baseline="0">
                <a:solidFill>
                  <a:schemeClr val="tx1">
                    <a:lumMod val="65000"/>
                    <a:lumOff val="35000"/>
                  </a:schemeClr>
                </a:solidFill>
                <a:latin typeface="Arial" panose="020B0604020202020204" pitchFamily="34" charset="0"/>
                <a:ea typeface="+mn-ea"/>
                <a:cs typeface="+mn-cs"/>
              </a:defRPr>
            </a:pPr>
            <a:r>
              <a:rPr lang="en-US" sz="810" b="1" cap="small" baseline="0">
                <a:latin typeface="Arial" panose="020B0604020202020204" pitchFamily="34" charset="0"/>
              </a:rPr>
              <a:t>Patient Attend status</a:t>
            </a:r>
          </a:p>
        </c:rich>
      </c:tx>
      <c:layout>
        <c:manualLayout>
          <c:xMode val="edge"/>
          <c:yMode val="edge"/>
          <c:x val="0.14602076124567473"/>
          <c:y val="0.84046692607003892"/>
        </c:manualLayout>
      </c:layout>
      <c:overlay val="0"/>
      <c:spPr>
        <a:noFill/>
        <a:ln>
          <a:noFill/>
        </a:ln>
        <a:effectLst/>
      </c:spPr>
      <c:txPr>
        <a:bodyPr rot="0" spcFirstLastPara="1" vertOverflow="ellipsis" vert="horz" wrap="square" anchor="ctr" anchorCtr="1"/>
        <a:lstStyle/>
        <a:p>
          <a:pPr>
            <a:defRPr sz="810" b="1" i="0" u="none" strike="noStrike" kern="1200" cap="small" spc="50" baseline="0">
              <a:solidFill>
                <a:schemeClr val="tx1">
                  <a:lumMod val="65000"/>
                  <a:lumOff val="35000"/>
                </a:schemeClr>
              </a:solidFill>
              <a:latin typeface="Arial" panose="020B0604020202020204" pitchFamily="34" charset="0"/>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5688308857586572"/>
          <c:y val="0.11897790986243451"/>
          <c:w val="0.64371522763806788"/>
          <c:h val="0.72386654002880002"/>
        </c:manualLayout>
      </c:layout>
      <c:pieChart>
        <c:varyColors val="1"/>
        <c:ser>
          <c:idx val="0"/>
          <c:order val="0"/>
          <c:tx>
            <c:strRef>
              <c:f>'Pivot Report'!$B$45</c:f>
              <c:strCache>
                <c:ptCount val="1"/>
                <c:pt idx="0">
                  <c:v>Total</c:v>
                </c:pt>
              </c:strCache>
            </c:strRef>
          </c:tx>
          <c:dPt>
            <c:idx val="0"/>
            <c:bubble3D val="0"/>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C8A-4317-9A64-D77BD0F8D456}"/>
              </c:ext>
            </c:extLst>
          </c:dPt>
          <c:dPt>
            <c:idx val="1"/>
            <c:bubble3D val="0"/>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C8A-4317-9A64-D77BD0F8D45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Report'!$A$46:$A$48</c:f>
              <c:strCache>
                <c:ptCount val="2"/>
                <c:pt idx="0">
                  <c:v>Delay</c:v>
                </c:pt>
                <c:pt idx="1">
                  <c:v>Ontime</c:v>
                </c:pt>
              </c:strCache>
            </c:strRef>
          </c:cat>
          <c:val>
            <c:numRef>
              <c:f>'Pivot Report'!$B$46:$B$48</c:f>
              <c:numCache>
                <c:formatCode>0</c:formatCode>
                <c:ptCount val="2"/>
                <c:pt idx="0">
                  <c:v>92</c:v>
                </c:pt>
                <c:pt idx="1">
                  <c:v>64</c:v>
                </c:pt>
              </c:numCache>
            </c:numRef>
          </c:val>
          <c:extLst>
            <c:ext xmlns:c16="http://schemas.microsoft.com/office/drawing/2014/chart" uri="{C3380CC4-5D6E-409C-BE32-E72D297353CC}">
              <c16:uniqueId val="{00000004-AC8A-4317-9A64-D77BD0F8D45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6501710013521043"/>
          <c:y val="2.7351163867854788E-3"/>
          <c:w val="0.61499768411301525"/>
          <c:h val="0.106858666013051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[ExcelProjectHospitalERDashboard.xlsx]Pivot Report!PivotTable10</c:name>
    <c:fmtId val="37"/>
  </c:pivotSource>
  <c:chart>
    <c:title>
      <c:tx>
        <c:rich>
          <a:bodyPr rot="0" spcFirstLastPara="1" vertOverflow="ellipsis" vert="horz" wrap="square" anchor="ctr" anchorCtr="1"/>
          <a:lstStyle/>
          <a:p>
            <a:pPr>
              <a:defRPr sz="810" b="0" i="1" u="none" strike="noStrike" kern="1200" cap="all" baseline="0">
                <a:solidFill>
                  <a:schemeClr val="tx1">
                    <a:lumMod val="50000"/>
                    <a:lumOff val="50000"/>
                  </a:schemeClr>
                </a:solidFill>
                <a:latin typeface="Arial" panose="020B0604020202020204" pitchFamily="34" charset="0"/>
                <a:ea typeface="+mn-ea"/>
                <a:cs typeface="+mn-cs"/>
              </a:defRPr>
            </a:pPr>
            <a:r>
              <a:rPr lang="en-US" sz="810" b="1" i="1" cap="all" baseline="0">
                <a:solidFill>
                  <a:schemeClr val="tx1">
                    <a:lumMod val="50000"/>
                    <a:lumOff val="50000"/>
                  </a:schemeClr>
                </a:solidFill>
                <a:latin typeface="Arial" panose="020B0604020202020204" pitchFamily="34" charset="0"/>
              </a:rPr>
              <a:t>gender Wise </a:t>
            </a:r>
            <a:r>
              <a:rPr lang="en-US" sz="810" b="1" i="0" cap="all" baseline="0">
                <a:solidFill>
                  <a:schemeClr val="tx1">
                    <a:lumMod val="50000"/>
                    <a:lumOff val="50000"/>
                  </a:schemeClr>
                </a:solidFill>
                <a:latin typeface="Arial" panose="020B0604020202020204" pitchFamily="34" charset="0"/>
              </a:rPr>
              <a:t>Analysis</a:t>
            </a:r>
          </a:p>
        </c:rich>
      </c:tx>
      <c:layout>
        <c:manualLayout>
          <c:xMode val="edge"/>
          <c:yMode val="edge"/>
          <c:x val="0.20008905783328809"/>
          <c:y val="0.89156626506024095"/>
        </c:manualLayout>
      </c:layout>
      <c:overlay val="0"/>
      <c:spPr>
        <a:noFill/>
        <a:ln>
          <a:noFill/>
        </a:ln>
        <a:effectLst/>
      </c:spPr>
      <c:txPr>
        <a:bodyPr rot="0" spcFirstLastPara="1" vertOverflow="ellipsis" vert="horz" wrap="square" anchor="ctr" anchorCtr="1"/>
        <a:lstStyle/>
        <a:p>
          <a:pPr>
            <a:defRPr sz="810" b="0" i="1" u="none" strike="noStrike" kern="1200" cap="all" baseline="0">
              <a:solidFill>
                <a:schemeClr val="tx1">
                  <a:lumMod val="50000"/>
                  <a:lumOff val="50000"/>
                </a:schemeClr>
              </a:solidFill>
              <a:latin typeface="Arial" panose="020B0604020202020204" pitchFamily="34" charset="0"/>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9168992669019821"/>
          <c:y val="0.12324320905669923"/>
          <c:w val="0.66312759292185253"/>
          <c:h val="0.74302248363532875"/>
        </c:manualLayout>
      </c:layout>
      <c:doughnutChart>
        <c:varyColors val="1"/>
        <c:ser>
          <c:idx val="0"/>
          <c:order val="0"/>
          <c:tx>
            <c:strRef>
              <c:f>'Pivot Report'!$B$51</c:f>
              <c:strCache>
                <c:ptCount val="1"/>
                <c:pt idx="0">
                  <c:v>Total</c:v>
                </c:pt>
              </c:strCache>
            </c:strRef>
          </c:tx>
          <c:dPt>
            <c:idx val="0"/>
            <c:bubble3D val="0"/>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D1B-4CF8-87A4-76824B0234C4}"/>
              </c:ext>
            </c:extLst>
          </c:dPt>
          <c:dPt>
            <c:idx val="1"/>
            <c:bubble3D val="0"/>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D1B-4CF8-87A4-76824B0234C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prstDash val="solid"/>
                  <a:round/>
                </a:ln>
                <a:effectLst/>
              </c:spPr>
            </c:leaderLines>
            <c:extLst>
              <c:ext xmlns:c15="http://schemas.microsoft.com/office/drawing/2012/chart" uri="{CE6537A1-D6FC-4f65-9D91-7224C49458BB}"/>
            </c:extLst>
          </c:dLbls>
          <c:cat>
            <c:strRef>
              <c:f>'Pivot Report'!$A$52:$A$54</c:f>
              <c:strCache>
                <c:ptCount val="2"/>
                <c:pt idx="0">
                  <c:v>Female</c:v>
                </c:pt>
                <c:pt idx="1">
                  <c:v>Male</c:v>
                </c:pt>
              </c:strCache>
            </c:strRef>
          </c:cat>
          <c:val>
            <c:numRef>
              <c:f>'Pivot Report'!$B$52:$B$54</c:f>
              <c:numCache>
                <c:formatCode>0</c:formatCode>
                <c:ptCount val="2"/>
                <c:pt idx="0">
                  <c:v>74</c:v>
                </c:pt>
                <c:pt idx="1">
                  <c:v>82</c:v>
                </c:pt>
              </c:numCache>
            </c:numRef>
          </c:val>
          <c:extLst>
            <c:ext xmlns:c16="http://schemas.microsoft.com/office/drawing/2014/chart" uri="{C3380CC4-5D6E-409C-BE32-E72D297353CC}">
              <c16:uniqueId val="{00000004-9D1B-4CF8-87A4-76824B0234C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0499536042843131"/>
          <c:y val="2.3726305045202706E-2"/>
          <c:w val="0.68961902489461546"/>
          <c:h val="6.488568447016411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6350"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[ExcelProjectHospitalERDashboard.xlsx]Pivot Report!PivotTable11</c:name>
    <c:fmtId val="41"/>
  </c:pivotSource>
  <c:chart>
    <c:autoTitleDeleted val="1"/>
    <c:pivotFmts>
      <c:pivotFmt>
        <c:idx val="0"/>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726631732009108"/>
          <c:y val="9.0651558073654395E-2"/>
          <c:w val="0.63005075585064063"/>
          <c:h val="0.8062421092547567"/>
        </c:manualLayout>
      </c:layout>
      <c:barChart>
        <c:barDir val="bar"/>
        <c:grouping val="clustered"/>
        <c:varyColors val="0"/>
        <c:ser>
          <c:idx val="0"/>
          <c:order val="0"/>
          <c:tx>
            <c:strRef>
              <c:f>'Pivot Report'!$B$57</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Report'!$A$58:$A$65</c:f>
              <c:strCache>
                <c:ptCount val="7"/>
                <c:pt idx="0">
                  <c:v>Renal</c:v>
                </c:pt>
                <c:pt idx="1">
                  <c:v>Cardiology</c:v>
                </c:pt>
                <c:pt idx="2">
                  <c:v>Gastroenterology</c:v>
                </c:pt>
                <c:pt idx="3">
                  <c:v>Physiotherapy</c:v>
                </c:pt>
                <c:pt idx="4">
                  <c:v>Orthopedics</c:v>
                </c:pt>
                <c:pt idx="5">
                  <c:v>General Practice</c:v>
                </c:pt>
                <c:pt idx="6">
                  <c:v>None</c:v>
                </c:pt>
              </c:strCache>
            </c:strRef>
          </c:cat>
          <c:val>
            <c:numRef>
              <c:f>'Pivot Report'!$B$58:$B$65</c:f>
              <c:numCache>
                <c:formatCode>0</c:formatCode>
                <c:ptCount val="7"/>
                <c:pt idx="0">
                  <c:v>1</c:v>
                </c:pt>
                <c:pt idx="1">
                  <c:v>4</c:v>
                </c:pt>
                <c:pt idx="2">
                  <c:v>4</c:v>
                </c:pt>
                <c:pt idx="3">
                  <c:v>5</c:v>
                </c:pt>
                <c:pt idx="4">
                  <c:v>25</c:v>
                </c:pt>
                <c:pt idx="5">
                  <c:v>31</c:v>
                </c:pt>
                <c:pt idx="6">
                  <c:v>86</c:v>
                </c:pt>
              </c:numCache>
            </c:numRef>
          </c:val>
          <c:extLst>
            <c:ext xmlns:c16="http://schemas.microsoft.com/office/drawing/2014/chart" uri="{C3380CC4-5D6E-409C-BE32-E72D297353CC}">
              <c16:uniqueId val="{00000000-D718-42F8-94DD-43BF5B8D38E9}"/>
            </c:ext>
          </c:extLst>
        </c:ser>
        <c:dLbls>
          <c:dLblPos val="inEnd"/>
          <c:showLegendKey val="0"/>
          <c:showVal val="1"/>
          <c:showCatName val="0"/>
          <c:showSerName val="0"/>
          <c:showPercent val="0"/>
          <c:showBubbleSize val="0"/>
        </c:dLbls>
        <c:gapWidth val="65"/>
        <c:axId val="542268912"/>
        <c:axId val="542283472"/>
      </c:barChart>
      <c:catAx>
        <c:axId val="5422689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42283472"/>
        <c:crosses val="autoZero"/>
        <c:auto val="1"/>
        <c:lblAlgn val="ctr"/>
        <c:lblOffset val="100"/>
        <c:noMultiLvlLbl val="0"/>
      </c:catAx>
      <c:valAx>
        <c:axId val="542283472"/>
        <c:scaling>
          <c:orientation val="minMax"/>
        </c:scaling>
        <c:delete val="1"/>
        <c:axPos val="b"/>
        <c:title>
          <c:tx>
            <c:rich>
              <a:bodyPr rot="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r>
                  <a:rPr lang="en-US">
                    <a:solidFill>
                      <a:schemeClr val="tx1">
                        <a:lumMod val="50000"/>
                        <a:lumOff val="50000"/>
                      </a:schemeClr>
                    </a:solidFill>
                  </a:rPr>
                  <a:t>No.</a:t>
                </a:r>
                <a:r>
                  <a:rPr lang="en-US" baseline="0">
                    <a:solidFill>
                      <a:schemeClr val="tx1">
                        <a:lumMod val="50000"/>
                        <a:lumOff val="50000"/>
                      </a:schemeClr>
                    </a:solidFill>
                  </a:rPr>
                  <a:t> of patient by department referal</a:t>
                </a:r>
                <a:endParaRPr lang="en-US">
                  <a:solidFill>
                    <a:schemeClr val="tx1">
                      <a:lumMod val="50000"/>
                      <a:lumOff val="50000"/>
                    </a:schemeClr>
                  </a:solidFill>
                </a:endParaRPr>
              </a:p>
            </c:rich>
          </c:tx>
          <c:layout>
            <c:manualLayout>
              <c:xMode val="edge"/>
              <c:yMode val="edge"/>
              <c:x val="0.25434744437433127"/>
              <c:y val="0.9077336064699229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title>
        <c:numFmt formatCode="0" sourceLinked="1"/>
        <c:majorTickMark val="none"/>
        <c:minorTickMark val="none"/>
        <c:tickLblPos val="nextTo"/>
        <c:crossAx val="542268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[ExcelProjectHospitalERDashboard.xlsx]Pivot Report!PivotTable7</c:name>
    <c:fmtId val="1"/>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2"/>
        <c:dLbl>
          <c:idx val="0"/>
          <c:tx>
            <c:rich>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45DCD8E8-5371-4D53-B829-53A6FA17E994}" type="CELLRANGE">
                  <a:rPr lang="en-IN"/>
                  <a:pPr>
                    <a:defRPr sz="5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6"/>
          </a:solidFill>
          <a:ln>
            <a:noFill/>
          </a:ln>
          <a:effectLst/>
        </c:spPr>
        <c:dLbl>
          <c:idx val="0"/>
          <c:tx>
            <c:rich>
              <a:bodyPr rot="0" spcFirstLastPara="1" vertOverflow="ellipsis" vert="horz" wrap="square" lIns="38100" tIns="19050" rIns="38100" bIns="19050" anchor="ctr" anchorCtr="1">
                <a:noAutofit/>
              </a:bodyPr>
              <a:lstStyle/>
              <a:p>
                <a:pPr>
                  <a:defRPr sz="500" b="0" i="0" u="none" strike="noStrike" kern="1200" baseline="0">
                    <a:solidFill>
                      <a:schemeClr val="tx1">
                        <a:lumMod val="75000"/>
                        <a:lumOff val="25000"/>
                      </a:schemeClr>
                    </a:solidFill>
                    <a:latin typeface="+mn-lt"/>
                    <a:ea typeface="+mn-ea"/>
                    <a:cs typeface="+mn-cs"/>
                  </a:defRPr>
                </a:pPr>
                <a:fld id="{33467A58-213F-4414-838C-1863398BBCCE}" type="CELLRANGE">
                  <a:rPr lang="en-IN"/>
                  <a:pPr>
                    <a:defRPr sz="5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4.9556939710894345E-2"/>
          <c:y val="3.5256786931484242E-4"/>
          <c:w val="0.92804207309907161"/>
          <c:h val="0.82303613083293437"/>
        </c:manualLayout>
      </c:layout>
      <c:barChart>
        <c:barDir val="bar"/>
        <c:grouping val="clustered"/>
        <c:varyColors val="0"/>
        <c:ser>
          <c:idx val="0"/>
          <c:order val="0"/>
          <c:tx>
            <c:strRef>
              <c:f>'Pivot Report'!$C$20:$C$22</c:f>
              <c:strCache>
                <c:ptCount val="1"/>
                <c:pt idx="0">
                  <c:v>Count of Patient Admission Flag</c:v>
                </c:pt>
              </c:strCache>
            </c:strRef>
          </c:tx>
          <c:spPr>
            <a:solidFill>
              <a:schemeClr val="accent6"/>
            </a:solidFill>
            <a:ln>
              <a:noFill/>
            </a:ln>
            <a:effectLst/>
          </c:spPr>
          <c:invertIfNegative val="0"/>
          <c:dPt>
            <c:idx val="1"/>
            <c:invertIfNegative val="0"/>
            <c:bubble3D val="0"/>
            <c:extLst>
              <c:ext xmlns:c16="http://schemas.microsoft.com/office/drawing/2014/chart" uri="{C3380CC4-5D6E-409C-BE32-E72D297353CC}">
                <c16:uniqueId val="{00000004-6137-463A-B9C9-C590A6947368}"/>
              </c:ext>
            </c:extLst>
          </c:dPt>
          <c:dLbls>
            <c:dLbl>
              <c:idx val="0"/>
              <c:tx>
                <c:rich>
                  <a:bodyPr/>
                  <a:lstStyle/>
                  <a:p>
                    <a:fld id="{45DCD8E8-5371-4D53-B829-53A6FA17E994}"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137-463A-B9C9-C590A6947368}"/>
                </c:ext>
              </c:extLst>
            </c:dLbl>
            <c:dLbl>
              <c:idx val="1"/>
              <c:tx>
                <c:rich>
                  <a:bodyPr/>
                  <a:lstStyle/>
                  <a:p>
                    <a:fld id="{33467A58-213F-4414-838C-1863398BBCCE}"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137-463A-B9C9-C590A6947368}"/>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Report'!$C$20:$C$22</c:f>
              <c:strCache>
                <c:ptCount val="2"/>
                <c:pt idx="0">
                  <c:v>Admitted</c:v>
                </c:pt>
                <c:pt idx="1">
                  <c:v>Not Admitted</c:v>
                </c:pt>
              </c:strCache>
            </c:strRef>
          </c:cat>
          <c:val>
            <c:numRef>
              <c:f>'Pivot Report'!$C$20:$C$22</c:f>
              <c:numCache>
                <c:formatCode>0</c:formatCode>
                <c:ptCount val="2"/>
                <c:pt idx="0">
                  <c:v>88</c:v>
                </c:pt>
                <c:pt idx="1">
                  <c:v>68</c:v>
                </c:pt>
              </c:numCache>
            </c:numRef>
          </c:val>
          <c:extLst>
            <c:ext xmlns:c15="http://schemas.microsoft.com/office/drawing/2012/chart" uri="{02D57815-91ED-43cb-92C2-25804820EDAC}">
              <c15:datalabelsRange>
                <c15:f>'Pivot Report'!$C$20:$C$22</c15:f>
                <c15:dlblRangeCache>
                  <c:ptCount val="3"/>
                  <c:pt idx="0">
                    <c:v>56.41%</c:v>
                  </c:pt>
                  <c:pt idx="1">
                    <c:v>43.59%</c:v>
                  </c:pt>
                  <c:pt idx="2">
                    <c:v>100.00%</c:v>
                  </c:pt>
                </c15:dlblRangeCache>
              </c15:datalabelsRange>
            </c:ext>
            <c:ext xmlns:c16="http://schemas.microsoft.com/office/drawing/2014/chart" uri="{C3380CC4-5D6E-409C-BE32-E72D297353CC}">
              <c16:uniqueId val="{00000000-6137-463A-B9C9-C590A6947368}"/>
            </c:ext>
          </c:extLst>
        </c:ser>
        <c:ser>
          <c:idx val="1"/>
          <c:order val="1"/>
          <c:tx>
            <c:strRef>
              <c:f>'Pivot Report'!$C$20:$C$22</c:f>
              <c:strCache>
                <c:ptCount val="1"/>
                <c:pt idx="0">
                  <c:v>Count of Patient Admission Flag2</c:v>
                </c:pt>
              </c:strCache>
            </c:strRef>
          </c:tx>
          <c:spPr>
            <a:solidFill>
              <a:schemeClr val="accent5"/>
            </a:solidFill>
            <a:ln>
              <a:noFill/>
            </a:ln>
            <a:effectLst/>
          </c:spPr>
          <c:invertIfNegative val="0"/>
          <c:cat>
            <c:strRef>
              <c:f>'Pivot Report'!$C$20:$C$22</c:f>
              <c:strCache>
                <c:ptCount val="2"/>
                <c:pt idx="0">
                  <c:v>Admitted</c:v>
                </c:pt>
                <c:pt idx="1">
                  <c:v>Not Admitted</c:v>
                </c:pt>
              </c:strCache>
            </c:strRef>
          </c:cat>
          <c:val>
            <c:numRef>
              <c:f>'Pivot Report'!$C$20:$C$22</c:f>
              <c:numCache>
                <c:formatCode>0.00%</c:formatCode>
                <c:ptCount val="2"/>
                <c:pt idx="0">
                  <c:v>0.5641025641025641</c:v>
                </c:pt>
                <c:pt idx="1">
                  <c:v>0.4358974358974359</c:v>
                </c:pt>
              </c:numCache>
            </c:numRef>
          </c:val>
          <c:extLst>
            <c:ext xmlns:c16="http://schemas.microsoft.com/office/drawing/2014/chart" uri="{C3380CC4-5D6E-409C-BE32-E72D297353CC}">
              <c16:uniqueId val="{00000001-6137-463A-B9C9-C590A6947368}"/>
            </c:ext>
          </c:extLst>
        </c:ser>
        <c:dLbls>
          <c:showLegendKey val="0"/>
          <c:showVal val="0"/>
          <c:showCatName val="0"/>
          <c:showSerName val="0"/>
          <c:showPercent val="0"/>
          <c:showBubbleSize val="0"/>
        </c:dLbls>
        <c:gapWidth val="0"/>
        <c:axId val="542282640"/>
        <c:axId val="542275984"/>
      </c:barChart>
      <c:catAx>
        <c:axId val="542282640"/>
        <c:scaling>
          <c:orientation val="minMax"/>
        </c:scaling>
        <c:delete val="1"/>
        <c:axPos val="l"/>
        <c:numFmt formatCode="General" sourceLinked="1"/>
        <c:majorTickMark val="out"/>
        <c:minorTickMark val="none"/>
        <c:tickLblPos val="nextTo"/>
        <c:crossAx val="542275984"/>
        <c:crosses val="autoZero"/>
        <c:auto val="1"/>
        <c:lblAlgn val="ctr"/>
        <c:lblOffset val="100"/>
        <c:noMultiLvlLbl val="0"/>
      </c:catAx>
      <c:valAx>
        <c:axId val="542275984"/>
        <c:scaling>
          <c:orientation val="minMax"/>
        </c:scaling>
        <c:delete val="1"/>
        <c:axPos val="b"/>
        <c:numFmt formatCode="0" sourceLinked="1"/>
        <c:majorTickMark val="out"/>
        <c:minorTickMark val="none"/>
        <c:tickLblPos val="nextTo"/>
        <c:crossAx val="542282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[ExcelProjectHospitalERDashboard.xlsx]Pivot Report!PivotTable4</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715483854420479E-2"/>
          <c:y val="4.3087971274685818E-2"/>
          <c:w val="0.95443761060812027"/>
          <c:h val="0.81627164647507033"/>
        </c:manualLayout>
      </c:layout>
      <c:areaChart>
        <c:grouping val="standard"/>
        <c:varyColors val="0"/>
        <c:ser>
          <c:idx val="0"/>
          <c:order val="0"/>
          <c:tx>
            <c:strRef>
              <c:f>'Pivot Report'!$F$4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 Report'!$E$5:$E$15</c:f>
              <c:strCache>
                <c:ptCount val="10"/>
                <c:pt idx="0">
                  <c:v>1-Apr</c:v>
                </c:pt>
                <c:pt idx="1">
                  <c:v>2-Apr</c:v>
                </c:pt>
                <c:pt idx="2">
                  <c:v>3-Apr</c:v>
                </c:pt>
                <c:pt idx="3">
                  <c:v>4-Apr</c:v>
                </c:pt>
                <c:pt idx="4">
                  <c:v>5-Apr</c:v>
                </c:pt>
                <c:pt idx="5">
                  <c:v>6-Apr</c:v>
                </c:pt>
                <c:pt idx="6">
                  <c:v>7-Apr</c:v>
                </c:pt>
                <c:pt idx="7">
                  <c:v>8-Apr</c:v>
                </c:pt>
                <c:pt idx="8">
                  <c:v>9-Apr</c:v>
                </c:pt>
                <c:pt idx="9">
                  <c:v>10-Apr</c:v>
                </c:pt>
              </c:strCache>
            </c:strRef>
          </c:cat>
          <c:val>
            <c:numRef>
              <c:f>'Pivot Report'!$F$5:$F$15</c:f>
              <c:numCache>
                <c:formatCode>General</c:formatCode>
                <c:ptCount val="10"/>
                <c:pt idx="0">
                  <c:v>22</c:v>
                </c:pt>
                <c:pt idx="1">
                  <c:v>12</c:v>
                </c:pt>
                <c:pt idx="2">
                  <c:v>14</c:v>
                </c:pt>
                <c:pt idx="3">
                  <c:v>20</c:v>
                </c:pt>
                <c:pt idx="4">
                  <c:v>15</c:v>
                </c:pt>
                <c:pt idx="5">
                  <c:v>15</c:v>
                </c:pt>
                <c:pt idx="6">
                  <c:v>9</c:v>
                </c:pt>
                <c:pt idx="7">
                  <c:v>17</c:v>
                </c:pt>
                <c:pt idx="8">
                  <c:v>16</c:v>
                </c:pt>
                <c:pt idx="9">
                  <c:v>16</c:v>
                </c:pt>
              </c:numCache>
            </c:numRef>
          </c:val>
          <c:extLst>
            <c:ext xmlns:c16="http://schemas.microsoft.com/office/drawing/2014/chart" uri="{C3380CC4-5D6E-409C-BE32-E72D297353CC}">
              <c16:uniqueId val="{00000000-3196-4A5E-B909-9252EC1ADB2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7394016"/>
        <c:axId val="107392768"/>
      </c:areaChart>
      <c:catAx>
        <c:axId val="107394016"/>
        <c:scaling>
          <c:orientation val="minMax"/>
        </c:scaling>
        <c:delete val="0"/>
        <c:axPos val="b"/>
        <c:numFmt formatCode="General" sourceLinked="1"/>
        <c:majorTickMark val="none"/>
        <c:minorTickMark val="none"/>
        <c:tickLblPos val="nextTo"/>
        <c:spPr>
          <a:noFill/>
          <a:ln w="9525" cap="flat" cmpd="sng" algn="ctr">
            <a:solidFill>
              <a:schemeClr val="accent6">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7392768"/>
        <c:crosses val="autoZero"/>
        <c:auto val="1"/>
        <c:lblAlgn val="ctr"/>
        <c:lblOffset val="100"/>
        <c:noMultiLvlLbl val="0"/>
      </c:catAx>
      <c:valAx>
        <c:axId val="107392768"/>
        <c:scaling>
          <c:orientation val="minMax"/>
        </c:scaling>
        <c:delete val="1"/>
        <c:axPos val="l"/>
        <c:numFmt formatCode="General" sourceLinked="1"/>
        <c:majorTickMark val="out"/>
        <c:minorTickMark val="none"/>
        <c:tickLblPos val="nextTo"/>
        <c:crossAx val="10739401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[ExcelProjectHospitalERDashboard.xlsx]Pivot Report!PivotTable5</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681151607201174E-2"/>
          <c:y val="0.1366906474820144"/>
          <c:w val="0.94232405281137088"/>
          <c:h val="0.67031609358182742"/>
        </c:manualLayout>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 Report'!$I$5:$I$15</c:f>
              <c:strCache>
                <c:ptCount val="10"/>
                <c:pt idx="0">
                  <c:v>1-Apr</c:v>
                </c:pt>
                <c:pt idx="1">
                  <c:v>2-Apr</c:v>
                </c:pt>
                <c:pt idx="2">
                  <c:v>3-Apr</c:v>
                </c:pt>
                <c:pt idx="3">
                  <c:v>4-Apr</c:v>
                </c:pt>
                <c:pt idx="4">
                  <c:v>5-Apr</c:v>
                </c:pt>
                <c:pt idx="5">
                  <c:v>6-Apr</c:v>
                </c:pt>
                <c:pt idx="6">
                  <c:v>7-Apr</c:v>
                </c:pt>
                <c:pt idx="7">
                  <c:v>8-Apr</c:v>
                </c:pt>
                <c:pt idx="8">
                  <c:v>9-Apr</c:v>
                </c:pt>
                <c:pt idx="9">
                  <c:v>10-Apr</c:v>
                </c:pt>
              </c:strCache>
            </c:strRef>
          </c:cat>
          <c:val>
            <c:numRef>
              <c:f>'Pivot Report'!$J$5:$J$15</c:f>
              <c:numCache>
                <c:formatCode>0.00</c:formatCode>
                <c:ptCount val="10"/>
                <c:pt idx="0">
                  <c:v>34.5</c:v>
                </c:pt>
                <c:pt idx="1">
                  <c:v>34.583333333333336</c:v>
                </c:pt>
                <c:pt idx="2">
                  <c:v>35.071428571428569</c:v>
                </c:pt>
                <c:pt idx="3">
                  <c:v>34.049999999999997</c:v>
                </c:pt>
                <c:pt idx="4">
                  <c:v>38.866666666666667</c:v>
                </c:pt>
                <c:pt idx="5">
                  <c:v>30.4</c:v>
                </c:pt>
                <c:pt idx="6">
                  <c:v>33.777777777777779</c:v>
                </c:pt>
                <c:pt idx="7">
                  <c:v>42.823529411764703</c:v>
                </c:pt>
                <c:pt idx="8">
                  <c:v>32</c:v>
                </c:pt>
                <c:pt idx="9">
                  <c:v>36.5</c:v>
                </c:pt>
              </c:numCache>
            </c:numRef>
          </c:val>
          <c:extLst>
            <c:ext xmlns:c16="http://schemas.microsoft.com/office/drawing/2014/chart" uri="{C3380CC4-5D6E-409C-BE32-E72D297353CC}">
              <c16:uniqueId val="{00000000-F03C-4570-BE23-F02335F6B74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2095872"/>
        <c:axId val="112097120"/>
      </c:areaChart>
      <c:catAx>
        <c:axId val="112095872"/>
        <c:scaling>
          <c:orientation val="minMax"/>
        </c:scaling>
        <c:delete val="0"/>
        <c:axPos val="b"/>
        <c:numFmt formatCode="General" sourceLinked="1"/>
        <c:majorTickMark val="none"/>
        <c:minorTickMark val="none"/>
        <c:tickLblPos val="nextTo"/>
        <c:spPr>
          <a:noFill/>
          <a:ln w="9525" cap="flat" cmpd="sng" algn="ctr">
            <a:solidFill>
              <a:schemeClr val="accent6">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2097120"/>
        <c:crosses val="autoZero"/>
        <c:auto val="1"/>
        <c:lblAlgn val="ctr"/>
        <c:lblOffset val="100"/>
        <c:noMultiLvlLbl val="0"/>
      </c:catAx>
      <c:valAx>
        <c:axId val="112097120"/>
        <c:scaling>
          <c:orientation val="minMax"/>
        </c:scaling>
        <c:delete val="1"/>
        <c:axPos val="l"/>
        <c:numFmt formatCode="0.00" sourceLinked="1"/>
        <c:majorTickMark val="out"/>
        <c:minorTickMark val="none"/>
        <c:tickLblPos val="nextTo"/>
        <c:crossAx val="11209587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[ExcelProjectHospitalERDashboard.xlsx]Pivot Report!PivotTable6</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6"/>
            </a:fgClr>
            <a:bgClr>
              <a:schemeClr val="lt1"/>
            </a:bgClr>
          </a:pattFill>
          <a:ln>
            <a:noFill/>
          </a:ln>
          <a:effectLst/>
        </c:spPr>
        <c:marker>
          <c:symbol val="none"/>
        </c:marker>
        <c:dLbl>
          <c:idx val="0"/>
          <c:spPr>
            <a:solidFill>
              <a:srgbClr val="70AD47">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229032241917004E-2"/>
          <c:y val="6.3301997483707712E-2"/>
          <c:w val="0.93712771122935756"/>
          <c:h val="0.76505540974044917"/>
        </c:manualLayout>
      </c:layout>
      <c:barChart>
        <c:barDir val="col"/>
        <c:grouping val="clustered"/>
        <c:varyColors val="0"/>
        <c:ser>
          <c:idx val="0"/>
          <c:order val="0"/>
          <c:tx>
            <c:strRef>
              <c:f>'Pivot Report'!$M$4</c:f>
              <c:strCache>
                <c:ptCount val="1"/>
                <c:pt idx="0">
                  <c:v>Total</c:v>
                </c:pt>
              </c:strCache>
            </c:strRef>
          </c:tx>
          <c:spPr>
            <a:pattFill prst="ltUpDiag">
              <a:fgClr>
                <a:schemeClr val="accent6"/>
              </a:fgClr>
              <a:bgClr>
                <a:schemeClr val="lt1"/>
              </a:bgClr>
            </a:pattFill>
            <a:ln>
              <a:noFill/>
            </a:ln>
            <a:effectLst/>
          </c:spPr>
          <c:invertIfNegative val="0"/>
          <c:dLbls>
            <c:spPr>
              <a:solidFill>
                <a:srgbClr val="70AD47">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 Report'!$L$5:$L$15</c:f>
              <c:strCache>
                <c:ptCount val="10"/>
                <c:pt idx="0">
                  <c:v>1-Apr</c:v>
                </c:pt>
                <c:pt idx="1">
                  <c:v>2-Apr</c:v>
                </c:pt>
                <c:pt idx="2">
                  <c:v>3-Apr</c:v>
                </c:pt>
                <c:pt idx="3">
                  <c:v>4-Apr</c:v>
                </c:pt>
                <c:pt idx="4">
                  <c:v>5-Apr</c:v>
                </c:pt>
                <c:pt idx="5">
                  <c:v>6-Apr</c:v>
                </c:pt>
                <c:pt idx="6">
                  <c:v>7-Apr</c:v>
                </c:pt>
                <c:pt idx="7">
                  <c:v>8-Apr</c:v>
                </c:pt>
                <c:pt idx="8">
                  <c:v>9-Apr</c:v>
                </c:pt>
                <c:pt idx="9">
                  <c:v>10-Apr</c:v>
                </c:pt>
              </c:strCache>
            </c:strRef>
          </c:cat>
          <c:val>
            <c:numRef>
              <c:f>'Pivot Report'!$M$5:$M$15</c:f>
              <c:numCache>
                <c:formatCode>0.00</c:formatCode>
                <c:ptCount val="10"/>
                <c:pt idx="0">
                  <c:v>4.8</c:v>
                </c:pt>
                <c:pt idx="1">
                  <c:v>7</c:v>
                </c:pt>
                <c:pt idx="2">
                  <c:v>2.75</c:v>
                </c:pt>
                <c:pt idx="3">
                  <c:v>5.666666666666667</c:v>
                </c:pt>
                <c:pt idx="4">
                  <c:v>6</c:v>
                </c:pt>
                <c:pt idx="5">
                  <c:v>5.8</c:v>
                </c:pt>
                <c:pt idx="6">
                  <c:v>2</c:v>
                </c:pt>
                <c:pt idx="7">
                  <c:v>4.5</c:v>
                </c:pt>
                <c:pt idx="8">
                  <c:v>5.6</c:v>
                </c:pt>
                <c:pt idx="9">
                  <c:v>6.8</c:v>
                </c:pt>
              </c:numCache>
            </c:numRef>
          </c:val>
          <c:extLst>
            <c:ext xmlns:c16="http://schemas.microsoft.com/office/drawing/2014/chart" uri="{C3380CC4-5D6E-409C-BE32-E72D297353CC}">
              <c16:uniqueId val="{00000000-1E26-4DF6-B95D-3A5595A656E1}"/>
            </c:ext>
          </c:extLst>
        </c:ser>
        <c:dLbls>
          <c:dLblPos val="outEnd"/>
          <c:showLegendKey val="0"/>
          <c:showVal val="1"/>
          <c:showCatName val="0"/>
          <c:showSerName val="0"/>
          <c:showPercent val="0"/>
          <c:showBubbleSize val="0"/>
        </c:dLbls>
        <c:gapWidth val="269"/>
        <c:overlap val="-20"/>
        <c:axId val="398641023"/>
        <c:axId val="398643519"/>
      </c:barChart>
      <c:catAx>
        <c:axId val="398641023"/>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6">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398643519"/>
        <c:crosses val="autoZero"/>
        <c:auto val="1"/>
        <c:lblAlgn val="ctr"/>
        <c:lblOffset val="100"/>
        <c:noMultiLvlLbl val="0"/>
      </c:catAx>
      <c:valAx>
        <c:axId val="39864351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98641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hyperlink" Target="#'Average wait time daily trend'!A1"/><Relationship Id="rId12"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image" Target="../media/image5.emf"/><Relationship Id="rId5" Type="http://schemas.openxmlformats.org/officeDocument/2006/relationships/hyperlink" Target="#'Daily ER No. of Patient'!A1"/><Relationship Id="rId15" Type="http://schemas.openxmlformats.org/officeDocument/2006/relationships/chart" Target="../charts/chart7.xml"/><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hyperlink" Target="#'Satisfaction score daily trend'!A1"/><Relationship Id="rId1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hyperlink" Target="#Dashboard!A1"/><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editAs="absolute">
    <xdr:from>
      <xdr:col>0</xdr:col>
      <xdr:colOff>88900</xdr:colOff>
      <xdr:row>0</xdr:row>
      <xdr:rowOff>57150</xdr:rowOff>
    </xdr:from>
    <xdr:to>
      <xdr:col>7</xdr:col>
      <xdr:colOff>241300</xdr:colOff>
      <xdr:row>3</xdr:row>
      <xdr:rowOff>146050</xdr:rowOff>
    </xdr:to>
    <xdr:sp macro="" textlink="">
      <xdr:nvSpPr>
        <xdr:cNvPr id="3" name="Rectangle: Rounded Corners 2">
          <a:extLst>
            <a:ext uri="{FF2B5EF4-FFF2-40B4-BE49-F238E27FC236}">
              <a16:creationId xmlns:a16="http://schemas.microsoft.com/office/drawing/2014/main" id="{20C52270-F606-4CF0-B7E2-1E10444FE45B}"/>
            </a:ext>
          </a:extLst>
        </xdr:cNvPr>
        <xdr:cNvSpPr/>
      </xdr:nvSpPr>
      <xdr:spPr>
        <a:xfrm>
          <a:off x="88900" y="57150"/>
          <a:ext cx="4419600" cy="641350"/>
        </a:xfrm>
        <a:prstGeom prst="roundRect">
          <a:avLst/>
        </a:prstGeom>
        <a:solidFill>
          <a:srgbClr val="FFFAEB"/>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HOSPITAL</a:t>
          </a:r>
          <a:r>
            <a:rPr lang="en-US" sz="1400" b="1" baseline="0">
              <a:solidFill>
                <a:schemeClr val="tx1"/>
              </a:solidFill>
            </a:rPr>
            <a:t> EMERGENCY ROOM</a:t>
          </a:r>
        </a:p>
        <a:p>
          <a:pPr algn="ctr"/>
          <a:r>
            <a:rPr lang="en-US" sz="1400" b="1" baseline="0">
              <a:solidFill>
                <a:schemeClr val="tx1"/>
              </a:solidFill>
            </a:rPr>
            <a:t>DASHBOARD</a:t>
          </a:r>
        </a:p>
        <a:p>
          <a:pPr algn="l"/>
          <a:r>
            <a:rPr lang="en-US" sz="1100" b="0" baseline="0">
              <a:solidFill>
                <a:schemeClr val="tx1"/>
              </a:solidFill>
            </a:rPr>
            <a:t>                                                   (</a:t>
          </a:r>
          <a:r>
            <a:rPr lang="en-US" sz="1000" b="0" baseline="0">
              <a:solidFill>
                <a:schemeClr val="tx1"/>
              </a:solidFill>
              <a:latin typeface="Arial" panose="020B0604020202020204" pitchFamily="34" charset="0"/>
              <a:cs typeface="Arial" panose="020B0604020202020204" pitchFamily="34" charset="0"/>
            </a:rPr>
            <a:t>Monthly Report</a:t>
          </a:r>
          <a:r>
            <a:rPr lang="en-US" sz="1100" b="0" baseline="0">
              <a:solidFill>
                <a:schemeClr val="tx1"/>
              </a:solidFill>
            </a:rPr>
            <a:t>)</a:t>
          </a:r>
          <a:endParaRPr lang="en-US" sz="1100" b="0">
            <a:solidFill>
              <a:schemeClr val="tx1"/>
            </a:solidFill>
          </a:endParaRPr>
        </a:p>
      </xdr:txBody>
    </xdr:sp>
    <xdr:clientData/>
  </xdr:twoCellAnchor>
  <xdr:twoCellAnchor editAs="absolute">
    <xdr:from>
      <xdr:col>9</xdr:col>
      <xdr:colOff>552450</xdr:colOff>
      <xdr:row>9</xdr:row>
      <xdr:rowOff>19050</xdr:rowOff>
    </xdr:from>
    <xdr:to>
      <xdr:col>15</xdr:col>
      <xdr:colOff>552450</xdr:colOff>
      <xdr:row>21</xdr:row>
      <xdr:rowOff>177800</xdr:rowOff>
    </xdr:to>
    <xdr:sp macro="" textlink="">
      <xdr:nvSpPr>
        <xdr:cNvPr id="13" name="Rectangle: Rounded Corners 12">
          <a:extLst>
            <a:ext uri="{FF2B5EF4-FFF2-40B4-BE49-F238E27FC236}">
              <a16:creationId xmlns:a16="http://schemas.microsoft.com/office/drawing/2014/main" id="{CB9C13B4-DD43-4B7C-A3BC-9D35B6A1BF24}"/>
            </a:ext>
          </a:extLst>
        </xdr:cNvPr>
        <xdr:cNvSpPr/>
      </xdr:nvSpPr>
      <xdr:spPr>
        <a:xfrm>
          <a:off x="6038850" y="1676400"/>
          <a:ext cx="3657600" cy="2368550"/>
        </a:xfrm>
        <a:prstGeom prst="roundRect">
          <a:avLst/>
        </a:prstGeom>
        <a:solidFill>
          <a:srgbClr val="FFFAEB"/>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9</xdr:col>
      <xdr:colOff>552450</xdr:colOff>
      <xdr:row>0</xdr:row>
      <xdr:rowOff>57150</xdr:rowOff>
    </xdr:from>
    <xdr:to>
      <xdr:col>12</xdr:col>
      <xdr:colOff>565150</xdr:colOff>
      <xdr:row>8</xdr:row>
      <xdr:rowOff>177800</xdr:rowOff>
    </xdr:to>
    <xdr:sp macro="" textlink="">
      <xdr:nvSpPr>
        <xdr:cNvPr id="14" name="Rectangle: Rounded Corners 13">
          <a:extLst>
            <a:ext uri="{FF2B5EF4-FFF2-40B4-BE49-F238E27FC236}">
              <a16:creationId xmlns:a16="http://schemas.microsoft.com/office/drawing/2014/main" id="{4C0FDC14-543E-4FEE-9D9E-37FF9F1A8632}"/>
            </a:ext>
          </a:extLst>
        </xdr:cNvPr>
        <xdr:cNvSpPr/>
      </xdr:nvSpPr>
      <xdr:spPr>
        <a:xfrm>
          <a:off x="6038850" y="57150"/>
          <a:ext cx="1841500" cy="1593850"/>
        </a:xfrm>
        <a:prstGeom prst="roundRect">
          <a:avLst/>
        </a:prstGeom>
        <a:solidFill>
          <a:srgbClr val="FFFAEB"/>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clientData/>
  </xdr:twoCellAnchor>
  <xdr:twoCellAnchor editAs="absolute">
    <xdr:from>
      <xdr:col>13</xdr:col>
      <xdr:colOff>0</xdr:colOff>
      <xdr:row>0</xdr:row>
      <xdr:rowOff>44450</xdr:rowOff>
    </xdr:from>
    <xdr:to>
      <xdr:col>15</xdr:col>
      <xdr:colOff>565150</xdr:colOff>
      <xdr:row>8</xdr:row>
      <xdr:rowOff>152400</xdr:rowOff>
    </xdr:to>
    <xdr:sp macro="" textlink="">
      <xdr:nvSpPr>
        <xdr:cNvPr id="15" name="Rectangle: Rounded Corners 14">
          <a:extLst>
            <a:ext uri="{FF2B5EF4-FFF2-40B4-BE49-F238E27FC236}">
              <a16:creationId xmlns:a16="http://schemas.microsoft.com/office/drawing/2014/main" id="{64EE2F11-5772-4A23-B2CF-FCE2D1419281}"/>
            </a:ext>
          </a:extLst>
        </xdr:cNvPr>
        <xdr:cNvSpPr/>
      </xdr:nvSpPr>
      <xdr:spPr>
        <a:xfrm>
          <a:off x="7924800" y="44450"/>
          <a:ext cx="1784350" cy="1581150"/>
        </a:xfrm>
        <a:prstGeom prst="roundRect">
          <a:avLst/>
        </a:prstGeom>
        <a:solidFill>
          <a:srgbClr val="FFFAEB"/>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107950</xdr:colOff>
      <xdr:row>4</xdr:row>
      <xdr:rowOff>31750</xdr:rowOff>
    </xdr:from>
    <xdr:to>
      <xdr:col>1</xdr:col>
      <xdr:colOff>469900</xdr:colOff>
      <xdr:row>21</xdr:row>
      <xdr:rowOff>171450</xdr:rowOff>
    </xdr:to>
    <xdr:sp macro="" textlink="">
      <xdr:nvSpPr>
        <xdr:cNvPr id="16" name="Rectangle: Rounded Corners 15">
          <a:extLst>
            <a:ext uri="{FF2B5EF4-FFF2-40B4-BE49-F238E27FC236}">
              <a16:creationId xmlns:a16="http://schemas.microsoft.com/office/drawing/2014/main" id="{F17017CD-2DBB-4470-B975-29A59B078F84}"/>
            </a:ext>
          </a:extLst>
        </xdr:cNvPr>
        <xdr:cNvSpPr/>
      </xdr:nvSpPr>
      <xdr:spPr>
        <a:xfrm>
          <a:off x="107950" y="768350"/>
          <a:ext cx="971550" cy="3270250"/>
        </a:xfrm>
        <a:prstGeom prst="roundRect">
          <a:avLst/>
        </a:prstGeom>
        <a:solidFill>
          <a:srgbClr val="FFFAEB"/>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565150</xdr:colOff>
      <xdr:row>4</xdr:row>
      <xdr:rowOff>12700</xdr:rowOff>
    </xdr:from>
    <xdr:to>
      <xdr:col>4</xdr:col>
      <xdr:colOff>285750</xdr:colOff>
      <xdr:row>8</xdr:row>
      <xdr:rowOff>95250</xdr:rowOff>
    </xdr:to>
    <xdr:sp macro="" textlink="Dashboard!$A$5">
      <xdr:nvSpPr>
        <xdr:cNvPr id="17" name="Rectangle: Rounded Corners 16">
          <a:extLst>
            <a:ext uri="{FF2B5EF4-FFF2-40B4-BE49-F238E27FC236}">
              <a16:creationId xmlns:a16="http://schemas.microsoft.com/office/drawing/2014/main" id="{58212500-25F5-4B86-B358-69FDD5316346}"/>
            </a:ext>
          </a:extLst>
        </xdr:cNvPr>
        <xdr:cNvSpPr/>
      </xdr:nvSpPr>
      <xdr:spPr>
        <a:xfrm>
          <a:off x="1174750" y="749300"/>
          <a:ext cx="1549400" cy="819150"/>
        </a:xfrm>
        <a:prstGeom prst="roundRect">
          <a:avLst/>
        </a:prstGeom>
        <a:solidFill>
          <a:srgbClr val="FFFAEB"/>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A45EC71-E6AF-4571-84C0-E6BD48F289DE}" type="TxLink">
            <a:rPr lang="en-US" sz="1100" b="0" i="0" u="none" strike="noStrike">
              <a:solidFill>
                <a:srgbClr val="000000"/>
              </a:solidFill>
              <a:latin typeface="Calibri"/>
              <a:ea typeface="Calibri"/>
              <a:cs typeface="Calibri"/>
            </a:rPr>
            <a:pPr algn="l"/>
            <a:t> </a:t>
          </a:fld>
          <a:endParaRPr lang="en-US" sz="1100"/>
        </a:p>
      </xdr:txBody>
    </xdr:sp>
    <xdr:clientData/>
  </xdr:twoCellAnchor>
  <xdr:twoCellAnchor editAs="absolute">
    <xdr:from>
      <xdr:col>1</xdr:col>
      <xdr:colOff>539750</xdr:colOff>
      <xdr:row>8</xdr:row>
      <xdr:rowOff>165100</xdr:rowOff>
    </xdr:from>
    <xdr:to>
      <xdr:col>9</xdr:col>
      <xdr:colOff>482600</xdr:colOff>
      <xdr:row>12</xdr:row>
      <xdr:rowOff>82550</xdr:rowOff>
    </xdr:to>
    <xdr:sp macro="" textlink="">
      <xdr:nvSpPr>
        <xdr:cNvPr id="18" name="Rectangle: Rounded Corners 17">
          <a:extLst>
            <a:ext uri="{FF2B5EF4-FFF2-40B4-BE49-F238E27FC236}">
              <a16:creationId xmlns:a16="http://schemas.microsoft.com/office/drawing/2014/main" id="{B5EAA64A-CEA8-4BC7-B55B-054BE6730DAD}"/>
            </a:ext>
          </a:extLst>
        </xdr:cNvPr>
        <xdr:cNvSpPr/>
      </xdr:nvSpPr>
      <xdr:spPr>
        <a:xfrm>
          <a:off x="1149350" y="1638300"/>
          <a:ext cx="4819650" cy="654050"/>
        </a:xfrm>
        <a:prstGeom prst="roundRect">
          <a:avLst/>
        </a:prstGeom>
        <a:solidFill>
          <a:srgbClr val="FFFAEB"/>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539750</xdr:colOff>
      <xdr:row>12</xdr:row>
      <xdr:rowOff>133350</xdr:rowOff>
    </xdr:from>
    <xdr:to>
      <xdr:col>9</xdr:col>
      <xdr:colOff>488950</xdr:colOff>
      <xdr:row>21</xdr:row>
      <xdr:rowOff>146050</xdr:rowOff>
    </xdr:to>
    <xdr:sp macro="" textlink="">
      <xdr:nvSpPr>
        <xdr:cNvPr id="19" name="Rectangle: Rounded Corners 18">
          <a:extLst>
            <a:ext uri="{FF2B5EF4-FFF2-40B4-BE49-F238E27FC236}">
              <a16:creationId xmlns:a16="http://schemas.microsoft.com/office/drawing/2014/main" id="{689B7967-69F7-419B-9CA2-C573D1432C95}"/>
            </a:ext>
          </a:extLst>
        </xdr:cNvPr>
        <xdr:cNvSpPr/>
      </xdr:nvSpPr>
      <xdr:spPr>
        <a:xfrm>
          <a:off x="1149350" y="2343150"/>
          <a:ext cx="4826000" cy="1670050"/>
        </a:xfrm>
        <a:prstGeom prst="roundRect">
          <a:avLst/>
        </a:prstGeom>
        <a:solidFill>
          <a:srgbClr val="FFFAEB"/>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292100</xdr:colOff>
      <xdr:row>0</xdr:row>
      <xdr:rowOff>50800</xdr:rowOff>
    </xdr:from>
    <xdr:to>
      <xdr:col>9</xdr:col>
      <xdr:colOff>495300</xdr:colOff>
      <xdr:row>3</xdr:row>
      <xdr:rowOff>139700</xdr:rowOff>
    </xdr:to>
    <xdr:sp macro="" textlink="">
      <xdr:nvSpPr>
        <xdr:cNvPr id="20" name="Rectangle: Rounded Corners 19">
          <a:extLst>
            <a:ext uri="{FF2B5EF4-FFF2-40B4-BE49-F238E27FC236}">
              <a16:creationId xmlns:a16="http://schemas.microsoft.com/office/drawing/2014/main" id="{8B329AA5-446B-4982-9A4A-E19E790623D7}"/>
            </a:ext>
          </a:extLst>
        </xdr:cNvPr>
        <xdr:cNvSpPr/>
      </xdr:nvSpPr>
      <xdr:spPr>
        <a:xfrm>
          <a:off x="4559300" y="50800"/>
          <a:ext cx="1422400" cy="641350"/>
        </a:xfrm>
        <a:prstGeom prst="roundRect">
          <a:avLst/>
        </a:prstGeom>
        <a:solidFill>
          <a:srgbClr val="FFFAEB"/>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a:solidFill>
                <a:sysClr val="windowText" lastClr="000000"/>
              </a:solidFill>
              <a:latin typeface="Arial" panose="020B0604020202020204" pitchFamily="34" charset="0"/>
              <a:cs typeface="Arial" panose="020B0604020202020204" pitchFamily="34" charset="0"/>
            </a:rPr>
            <a:t>   SELECT</a:t>
          </a:r>
          <a:r>
            <a:rPr lang="en-US" sz="1000" b="1" baseline="0">
              <a:solidFill>
                <a:sysClr val="windowText" lastClr="000000"/>
              </a:solidFill>
              <a:latin typeface="Arial" panose="020B0604020202020204" pitchFamily="34" charset="0"/>
              <a:cs typeface="Arial" panose="020B0604020202020204" pitchFamily="34" charset="0"/>
            </a:rPr>
            <a:t> YEAR</a:t>
          </a:r>
          <a:endParaRPr lang="en-US" sz="10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0</xdr:col>
      <xdr:colOff>266702</xdr:colOff>
      <xdr:row>22</xdr:row>
      <xdr:rowOff>12700</xdr:rowOff>
    </xdr:from>
    <xdr:to>
      <xdr:col>11</xdr:col>
      <xdr:colOff>273050</xdr:colOff>
      <xdr:row>22</xdr:row>
      <xdr:rowOff>19050</xdr:rowOff>
    </xdr:to>
    <xdr:cxnSp macro="">
      <xdr:nvCxnSpPr>
        <xdr:cNvPr id="23" name="Straight Connector 22">
          <a:extLst>
            <a:ext uri="{FF2B5EF4-FFF2-40B4-BE49-F238E27FC236}">
              <a16:creationId xmlns:a16="http://schemas.microsoft.com/office/drawing/2014/main" id="{F713DD07-65CA-4E55-A1BA-0BBD2CD9E772}"/>
            </a:ext>
          </a:extLst>
        </xdr:cNvPr>
        <xdr:cNvCxnSpPr/>
      </xdr:nvCxnSpPr>
      <xdr:spPr>
        <a:xfrm flipH="1">
          <a:off x="266702" y="4064000"/>
          <a:ext cx="6711948" cy="63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xdr:col>
      <xdr:colOff>152400</xdr:colOff>
      <xdr:row>4</xdr:row>
      <xdr:rowOff>0</xdr:rowOff>
    </xdr:from>
    <xdr:to>
      <xdr:col>9</xdr:col>
      <xdr:colOff>495300</xdr:colOff>
      <xdr:row>8</xdr:row>
      <xdr:rowOff>88900</xdr:rowOff>
    </xdr:to>
    <xdr:sp macro="" textlink="">
      <xdr:nvSpPr>
        <xdr:cNvPr id="27" name="Rectangle: Rounded Corners 26">
          <a:extLst>
            <a:ext uri="{FF2B5EF4-FFF2-40B4-BE49-F238E27FC236}">
              <a16:creationId xmlns:a16="http://schemas.microsoft.com/office/drawing/2014/main" id="{49C0E376-9588-4085-91EA-9CB45E064F26}"/>
            </a:ext>
          </a:extLst>
        </xdr:cNvPr>
        <xdr:cNvSpPr/>
      </xdr:nvSpPr>
      <xdr:spPr>
        <a:xfrm>
          <a:off x="4419600" y="736600"/>
          <a:ext cx="1562100" cy="825500"/>
        </a:xfrm>
        <a:prstGeom prst="roundRect">
          <a:avLst/>
        </a:prstGeom>
        <a:solidFill>
          <a:srgbClr val="FFFAEB"/>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336550</xdr:colOff>
      <xdr:row>4</xdr:row>
      <xdr:rowOff>19050</xdr:rowOff>
    </xdr:from>
    <xdr:to>
      <xdr:col>7</xdr:col>
      <xdr:colOff>95250</xdr:colOff>
      <xdr:row>8</xdr:row>
      <xdr:rowOff>88900</xdr:rowOff>
    </xdr:to>
    <xdr:sp macro="" textlink="">
      <xdr:nvSpPr>
        <xdr:cNvPr id="28" name="Rectangle: Rounded Corners 27">
          <a:extLst>
            <a:ext uri="{FF2B5EF4-FFF2-40B4-BE49-F238E27FC236}">
              <a16:creationId xmlns:a16="http://schemas.microsoft.com/office/drawing/2014/main" id="{81863D7C-8D6A-4EC8-AD81-12D9A8A41D72}"/>
            </a:ext>
          </a:extLst>
        </xdr:cNvPr>
        <xdr:cNvSpPr/>
      </xdr:nvSpPr>
      <xdr:spPr>
        <a:xfrm>
          <a:off x="2774950" y="755650"/>
          <a:ext cx="1587500" cy="806450"/>
        </a:xfrm>
        <a:prstGeom prst="roundRect">
          <a:avLst/>
        </a:prstGeom>
        <a:solidFill>
          <a:srgbClr val="FFFAEB"/>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584200</xdr:colOff>
      <xdr:row>1</xdr:row>
      <xdr:rowOff>31750</xdr:rowOff>
    </xdr:from>
    <xdr:to>
      <xdr:col>15</xdr:col>
      <xdr:colOff>590550</xdr:colOff>
      <xdr:row>22</xdr:row>
      <xdr:rowOff>63500</xdr:rowOff>
    </xdr:to>
    <xdr:cxnSp macro="">
      <xdr:nvCxnSpPr>
        <xdr:cNvPr id="41" name="Straight Connector 40">
          <a:extLst>
            <a:ext uri="{FF2B5EF4-FFF2-40B4-BE49-F238E27FC236}">
              <a16:creationId xmlns:a16="http://schemas.microsoft.com/office/drawing/2014/main" id="{3A8D1ACA-DA4F-4A1E-BF0B-8DE5600C96E1}"/>
            </a:ext>
          </a:extLst>
        </xdr:cNvPr>
        <xdr:cNvCxnSpPr/>
      </xdr:nvCxnSpPr>
      <xdr:spPr>
        <a:xfrm flipH="1">
          <a:off x="9728200" y="215900"/>
          <a:ext cx="6350" cy="38989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260350</xdr:colOff>
      <xdr:row>0</xdr:row>
      <xdr:rowOff>69850</xdr:rowOff>
    </xdr:from>
    <xdr:to>
      <xdr:col>1</xdr:col>
      <xdr:colOff>311150</xdr:colOff>
      <xdr:row>3</xdr:row>
      <xdr:rowOff>127000</xdr:rowOff>
    </xdr:to>
    <xdr:pic>
      <xdr:nvPicPr>
        <xdr:cNvPr id="45" name="Picture 44">
          <a:extLst>
            <a:ext uri="{FF2B5EF4-FFF2-40B4-BE49-F238E27FC236}">
              <a16:creationId xmlns:a16="http://schemas.microsoft.com/office/drawing/2014/main" id="{3D96B03A-EC59-467B-90ED-B8FADF1FCE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0350" y="69850"/>
          <a:ext cx="660400" cy="609600"/>
        </a:xfrm>
        <a:prstGeom prst="rect">
          <a:avLst/>
        </a:prstGeom>
      </xdr:spPr>
    </xdr:pic>
    <xdr:clientData/>
  </xdr:twoCellAnchor>
  <xdr:oneCellAnchor>
    <xdr:from>
      <xdr:col>2</xdr:col>
      <xdr:colOff>165100</xdr:colOff>
      <xdr:row>4</xdr:row>
      <xdr:rowOff>88900</xdr:rowOff>
    </xdr:from>
    <xdr:ext cx="977900" cy="184150"/>
    <xdr:sp macro="" textlink="'Pivot Report'!A5">
      <xdr:nvSpPr>
        <xdr:cNvPr id="48" name="TextBox 47">
          <a:extLst>
            <a:ext uri="{FF2B5EF4-FFF2-40B4-BE49-F238E27FC236}">
              <a16:creationId xmlns:a16="http://schemas.microsoft.com/office/drawing/2014/main" id="{92576B54-97C5-4D41-94AF-C61227DB904C}"/>
            </a:ext>
          </a:extLst>
        </xdr:cNvPr>
        <xdr:cNvSpPr txBox="1"/>
      </xdr:nvSpPr>
      <xdr:spPr>
        <a:xfrm>
          <a:off x="1384300" y="825500"/>
          <a:ext cx="977900" cy="1841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500" b="1" i="0" u="none" strike="noStrike">
              <a:solidFill>
                <a:srgbClr val="000000"/>
              </a:solidFill>
              <a:latin typeface="Calibri"/>
              <a:ea typeface="Calibri"/>
              <a:cs typeface="Calibri"/>
            </a:rPr>
            <a:t>       </a:t>
          </a:r>
          <a:fld id="{6E0F89F4-7ADA-4E1B-A7DE-3A139B8A8449}" type="TxLink">
            <a:rPr lang="en-US" sz="1500" b="1" i="0" u="none" strike="noStrike">
              <a:solidFill>
                <a:srgbClr val="000000"/>
              </a:solidFill>
              <a:latin typeface="Calibri"/>
              <a:ea typeface="Calibri"/>
              <a:cs typeface="Calibri"/>
            </a:rPr>
            <a:pPr/>
            <a:t>1783</a:t>
          </a:fld>
          <a:endParaRPr lang="en-US" sz="1500" b="1"/>
        </a:p>
      </xdr:txBody>
    </xdr:sp>
    <xdr:clientData/>
  </xdr:oneCellAnchor>
  <xdr:oneCellAnchor>
    <xdr:from>
      <xdr:col>2</xdr:col>
      <xdr:colOff>107950</xdr:colOff>
      <xdr:row>6</xdr:row>
      <xdr:rowOff>0</xdr:rowOff>
    </xdr:from>
    <xdr:ext cx="1219200" cy="184150"/>
    <xdr:sp macro="" textlink="'Pivot Report'!A5">
      <xdr:nvSpPr>
        <xdr:cNvPr id="49" name="TextBox 48">
          <a:extLst>
            <a:ext uri="{FF2B5EF4-FFF2-40B4-BE49-F238E27FC236}">
              <a16:creationId xmlns:a16="http://schemas.microsoft.com/office/drawing/2014/main" id="{16DE6103-4B36-4C56-9348-9F3B3210AD7B}"/>
            </a:ext>
          </a:extLst>
        </xdr:cNvPr>
        <xdr:cNvSpPr txBox="1"/>
      </xdr:nvSpPr>
      <xdr:spPr>
        <a:xfrm>
          <a:off x="1327150" y="1104900"/>
          <a:ext cx="1219200" cy="1841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050" b="0" i="0" u="none" strike="noStrike">
              <a:solidFill>
                <a:srgbClr val="000000"/>
              </a:solidFill>
              <a:latin typeface="Calibri"/>
              <a:ea typeface="Calibri"/>
              <a:cs typeface="Calibri"/>
            </a:rPr>
            <a:t>      No.</a:t>
          </a:r>
          <a:r>
            <a:rPr lang="en-US" sz="1050" b="0" i="0" u="none" strike="noStrike" baseline="0">
              <a:solidFill>
                <a:srgbClr val="000000"/>
              </a:solidFill>
              <a:latin typeface="Calibri"/>
              <a:ea typeface="Calibri"/>
              <a:cs typeface="Calibri"/>
            </a:rPr>
            <a:t> of Patient</a:t>
          </a:r>
          <a:endParaRPr lang="en-US" sz="1050" b="0"/>
        </a:p>
      </xdr:txBody>
    </xdr:sp>
    <xdr:clientData/>
  </xdr:oneCellAnchor>
  <xdr:oneCellAnchor>
    <xdr:from>
      <xdr:col>4</xdr:col>
      <xdr:colOff>463550</xdr:colOff>
      <xdr:row>4</xdr:row>
      <xdr:rowOff>88900</xdr:rowOff>
    </xdr:from>
    <xdr:ext cx="1085850" cy="196850"/>
    <xdr:sp macro="" textlink="'Pivot Report'!A9">
      <xdr:nvSpPr>
        <xdr:cNvPr id="50" name="TextBox 49">
          <a:extLst>
            <a:ext uri="{FF2B5EF4-FFF2-40B4-BE49-F238E27FC236}">
              <a16:creationId xmlns:a16="http://schemas.microsoft.com/office/drawing/2014/main" id="{C4AEE62B-51B9-481A-97DD-B81945FD478D}"/>
            </a:ext>
          </a:extLst>
        </xdr:cNvPr>
        <xdr:cNvSpPr txBox="1"/>
      </xdr:nvSpPr>
      <xdr:spPr>
        <a:xfrm>
          <a:off x="2901950" y="825500"/>
          <a:ext cx="1085850" cy="196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500" b="1" i="0" u="none" strike="noStrike">
              <a:solidFill>
                <a:srgbClr val="000000"/>
              </a:solidFill>
              <a:latin typeface="Calibri"/>
              <a:ea typeface="Calibri"/>
              <a:cs typeface="Calibri"/>
            </a:rPr>
            <a:t>       </a:t>
          </a:r>
          <a:r>
            <a:rPr lang="en-US" sz="1500" b="1" i="0" u="none" strike="noStrike" baseline="0">
              <a:solidFill>
                <a:srgbClr val="000000"/>
              </a:solidFill>
              <a:latin typeface="Calibri"/>
              <a:ea typeface="Calibri"/>
              <a:cs typeface="Calibri"/>
            </a:rPr>
            <a:t> </a:t>
          </a:r>
          <a:fld id="{170D27BD-FF57-4636-AB1E-11F760CB07C3}" type="TxLink">
            <a:rPr lang="en-US" sz="1500" b="1" i="0" u="none" strike="noStrike">
              <a:solidFill>
                <a:srgbClr val="000000"/>
              </a:solidFill>
              <a:latin typeface="Calibri"/>
              <a:ea typeface="Calibri"/>
              <a:cs typeface="Calibri"/>
            </a:rPr>
            <a:pPr/>
            <a:t>35.37</a:t>
          </a:fld>
          <a:endParaRPr lang="en-US" sz="1500" b="1"/>
        </a:p>
      </xdr:txBody>
    </xdr:sp>
    <xdr:clientData/>
  </xdr:oneCellAnchor>
  <xdr:oneCellAnchor>
    <xdr:from>
      <xdr:col>4</xdr:col>
      <xdr:colOff>406400</xdr:colOff>
      <xdr:row>6</xdr:row>
      <xdr:rowOff>25400</xdr:rowOff>
    </xdr:from>
    <xdr:ext cx="1492250" cy="228600"/>
    <xdr:sp macro="" textlink="'Pivot Report'!A5">
      <xdr:nvSpPr>
        <xdr:cNvPr id="51" name="TextBox 50">
          <a:extLst>
            <a:ext uri="{FF2B5EF4-FFF2-40B4-BE49-F238E27FC236}">
              <a16:creationId xmlns:a16="http://schemas.microsoft.com/office/drawing/2014/main" id="{ED1FECFB-BF18-4E29-8367-38DEA40F3506}"/>
            </a:ext>
          </a:extLst>
        </xdr:cNvPr>
        <xdr:cNvSpPr txBox="1"/>
      </xdr:nvSpPr>
      <xdr:spPr>
        <a:xfrm>
          <a:off x="2844800" y="1130300"/>
          <a:ext cx="1492250" cy="228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000" b="0" i="0" u="none" strike="noStrike">
              <a:solidFill>
                <a:srgbClr val="000000"/>
              </a:solidFill>
              <a:latin typeface="Calibri"/>
              <a:ea typeface="Calibri"/>
              <a:cs typeface="Calibri"/>
            </a:rPr>
            <a:t>  Average</a:t>
          </a:r>
          <a:r>
            <a:rPr lang="en-US" sz="1000" b="0" i="0" u="none" strike="noStrike" baseline="0">
              <a:solidFill>
                <a:srgbClr val="000000"/>
              </a:solidFill>
              <a:latin typeface="Calibri"/>
              <a:ea typeface="Calibri"/>
              <a:cs typeface="Calibri"/>
            </a:rPr>
            <a:t> Wait Time(Min)</a:t>
          </a:r>
          <a:endParaRPr lang="en-US" sz="1000"/>
        </a:p>
      </xdr:txBody>
    </xdr:sp>
    <xdr:clientData/>
  </xdr:oneCellAnchor>
  <xdr:oneCellAnchor>
    <xdr:from>
      <xdr:col>7</xdr:col>
      <xdr:colOff>349250</xdr:colOff>
      <xdr:row>4</xdr:row>
      <xdr:rowOff>69850</xdr:rowOff>
    </xdr:from>
    <xdr:ext cx="927100" cy="247650"/>
    <xdr:sp macro="" textlink="'Pivot Report'!A13">
      <xdr:nvSpPr>
        <xdr:cNvPr id="52" name="TextBox 51">
          <a:extLst>
            <a:ext uri="{FF2B5EF4-FFF2-40B4-BE49-F238E27FC236}">
              <a16:creationId xmlns:a16="http://schemas.microsoft.com/office/drawing/2014/main" id="{A2CABEC1-AD0F-4FD5-8BFC-F6D8AE23DD5F}"/>
            </a:ext>
          </a:extLst>
        </xdr:cNvPr>
        <xdr:cNvSpPr txBox="1"/>
      </xdr:nvSpPr>
      <xdr:spPr>
        <a:xfrm>
          <a:off x="4616450" y="806450"/>
          <a:ext cx="927100" cy="247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500" b="1" i="0" u="none" strike="noStrike">
              <a:solidFill>
                <a:srgbClr val="000000"/>
              </a:solidFill>
              <a:latin typeface="Calibri"/>
              <a:ea typeface="Calibri"/>
              <a:cs typeface="Calibri"/>
            </a:rPr>
            <a:t>        </a:t>
          </a:r>
          <a:fld id="{B8D50EA3-A660-45CC-9AE0-A2584ADA06A0}" type="TxLink">
            <a:rPr lang="en-US" sz="1500" b="1" i="0" u="none" strike="noStrike">
              <a:solidFill>
                <a:srgbClr val="000000"/>
              </a:solidFill>
              <a:latin typeface="Calibri"/>
              <a:ea typeface="Calibri"/>
              <a:cs typeface="Calibri"/>
            </a:rPr>
            <a:pPr/>
            <a:t>4.80</a:t>
          </a:fld>
          <a:endParaRPr lang="en-US" sz="1500" b="1"/>
        </a:p>
      </xdr:txBody>
    </xdr:sp>
    <xdr:clientData/>
  </xdr:oneCellAnchor>
  <xdr:oneCellAnchor>
    <xdr:from>
      <xdr:col>7</xdr:col>
      <xdr:colOff>228600</xdr:colOff>
      <xdr:row>6</xdr:row>
      <xdr:rowOff>31750</xdr:rowOff>
    </xdr:from>
    <xdr:ext cx="1397000" cy="215900"/>
    <xdr:sp macro="" textlink="'Pivot Report'!A5">
      <xdr:nvSpPr>
        <xdr:cNvPr id="53" name="TextBox 52">
          <a:extLst>
            <a:ext uri="{FF2B5EF4-FFF2-40B4-BE49-F238E27FC236}">
              <a16:creationId xmlns:a16="http://schemas.microsoft.com/office/drawing/2014/main" id="{A60FCB32-881B-49C9-9892-F06F853C0BD2}"/>
            </a:ext>
          </a:extLst>
        </xdr:cNvPr>
        <xdr:cNvSpPr txBox="1"/>
      </xdr:nvSpPr>
      <xdr:spPr>
        <a:xfrm>
          <a:off x="4495800" y="1136650"/>
          <a:ext cx="1397000" cy="215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000" b="0" i="0" u="none" strike="noStrike">
              <a:solidFill>
                <a:srgbClr val="000000"/>
              </a:solidFill>
              <a:latin typeface="Calibri"/>
              <a:ea typeface="Calibri"/>
              <a:cs typeface="Calibri"/>
            </a:rPr>
            <a:t>  Patient</a:t>
          </a:r>
          <a:r>
            <a:rPr lang="en-US" sz="1000" b="0" i="0" u="none" strike="noStrike" baseline="0">
              <a:solidFill>
                <a:srgbClr val="000000"/>
              </a:solidFill>
              <a:latin typeface="Calibri"/>
              <a:ea typeface="Calibri"/>
              <a:cs typeface="Calibri"/>
            </a:rPr>
            <a:t> Satisfaction Score</a:t>
          </a:r>
          <a:endParaRPr lang="en-US" sz="1000"/>
        </a:p>
      </xdr:txBody>
    </xdr:sp>
    <xdr:clientData/>
  </xdr:oneCellAnchor>
  <xdr:twoCellAnchor editAs="oneCell">
    <xdr:from>
      <xdr:col>3</xdr:col>
      <xdr:colOff>495300</xdr:colOff>
      <xdr:row>4</xdr:row>
      <xdr:rowOff>12700</xdr:rowOff>
    </xdr:from>
    <xdr:to>
      <xdr:col>4</xdr:col>
      <xdr:colOff>234950</xdr:colOff>
      <xdr:row>5</xdr:row>
      <xdr:rowOff>114300</xdr:rowOff>
    </xdr:to>
    <xdr:pic>
      <xdr:nvPicPr>
        <xdr:cNvPr id="55" name="Picture 54">
          <a:extLst>
            <a:ext uri="{FF2B5EF4-FFF2-40B4-BE49-F238E27FC236}">
              <a16:creationId xmlns:a16="http://schemas.microsoft.com/office/drawing/2014/main" id="{C5EA674E-502E-4796-8CB2-F898DFFAF48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324100" y="749300"/>
          <a:ext cx="349250" cy="285750"/>
        </a:xfrm>
        <a:prstGeom prst="rect">
          <a:avLst/>
        </a:prstGeom>
      </xdr:spPr>
    </xdr:pic>
    <xdr:clientData/>
  </xdr:twoCellAnchor>
  <xdr:twoCellAnchor editAs="oneCell">
    <xdr:from>
      <xdr:col>6</xdr:col>
      <xdr:colOff>317500</xdr:colOff>
      <xdr:row>4</xdr:row>
      <xdr:rowOff>44450</xdr:rowOff>
    </xdr:from>
    <xdr:to>
      <xdr:col>7</xdr:col>
      <xdr:colOff>31750</xdr:colOff>
      <xdr:row>5</xdr:row>
      <xdr:rowOff>146050</xdr:rowOff>
    </xdr:to>
    <xdr:pic>
      <xdr:nvPicPr>
        <xdr:cNvPr id="57" name="Picture 56">
          <a:extLst>
            <a:ext uri="{FF2B5EF4-FFF2-40B4-BE49-F238E27FC236}">
              <a16:creationId xmlns:a16="http://schemas.microsoft.com/office/drawing/2014/main" id="{7DF35D14-FCAB-4FA6-AE15-800221614F4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975100" y="781050"/>
          <a:ext cx="323850" cy="285750"/>
        </a:xfrm>
        <a:prstGeom prst="rect">
          <a:avLst/>
        </a:prstGeom>
      </xdr:spPr>
    </xdr:pic>
    <xdr:clientData/>
  </xdr:twoCellAnchor>
  <xdr:twoCellAnchor editAs="oneCell">
    <xdr:from>
      <xdr:col>9</xdr:col>
      <xdr:colOff>82549</xdr:colOff>
      <xdr:row>3</xdr:row>
      <xdr:rowOff>158750</xdr:rowOff>
    </xdr:from>
    <xdr:to>
      <xdr:col>9</xdr:col>
      <xdr:colOff>425450</xdr:colOff>
      <xdr:row>5</xdr:row>
      <xdr:rowOff>133350</xdr:rowOff>
    </xdr:to>
    <xdr:pic>
      <xdr:nvPicPr>
        <xdr:cNvPr id="59" name="Picture 58">
          <a:extLst>
            <a:ext uri="{FF2B5EF4-FFF2-40B4-BE49-F238E27FC236}">
              <a16:creationId xmlns:a16="http://schemas.microsoft.com/office/drawing/2014/main" id="{ADBAC5F2-D6BA-4795-864A-97E1BB69BAB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568949" y="711200"/>
          <a:ext cx="342901" cy="342900"/>
        </a:xfrm>
        <a:prstGeom prst="rect">
          <a:avLst/>
        </a:prstGeom>
      </xdr:spPr>
    </xdr:pic>
    <xdr:clientData/>
  </xdr:twoCellAnchor>
  <xdr:twoCellAnchor editAs="oneCell">
    <xdr:from>
      <xdr:col>0</xdr:col>
      <xdr:colOff>114300</xdr:colOff>
      <xdr:row>4</xdr:row>
      <xdr:rowOff>19050</xdr:rowOff>
    </xdr:from>
    <xdr:to>
      <xdr:col>1</xdr:col>
      <xdr:colOff>501650</xdr:colOff>
      <xdr:row>22</xdr:row>
      <xdr:rowOff>12700</xdr:rowOff>
    </xdr:to>
    <mc:AlternateContent xmlns:mc="http://schemas.openxmlformats.org/markup-compatibility/2006" xmlns:a14="http://schemas.microsoft.com/office/drawing/2010/main">
      <mc:Choice Requires="a14">
        <xdr:graphicFrame macro="">
          <xdr:nvGraphicFramePr>
            <xdr:cNvPr id="60" name="Date (Month)">
              <a:extLst>
                <a:ext uri="{FF2B5EF4-FFF2-40B4-BE49-F238E27FC236}">
                  <a16:creationId xmlns:a16="http://schemas.microsoft.com/office/drawing/2014/main" id="{C221925F-1D98-44A2-8B35-D784615CE55B}"/>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14300" y="755650"/>
              <a:ext cx="996950" cy="3308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6350</xdr:colOff>
      <xdr:row>6</xdr:row>
      <xdr:rowOff>12700</xdr:rowOff>
    </xdr:from>
    <xdr:to>
      <xdr:col>4</xdr:col>
      <xdr:colOff>222250</xdr:colOff>
      <xdr:row>9</xdr:row>
      <xdr:rowOff>88900</xdr:rowOff>
    </xdr:to>
    <xdr:graphicFrame macro="">
      <xdr:nvGraphicFramePr>
        <xdr:cNvPr id="62" name="Chart 61">
          <a:hlinkClick xmlns:r="http://schemas.openxmlformats.org/officeDocument/2006/relationships" r:id="rId5"/>
          <a:extLst>
            <a:ext uri="{FF2B5EF4-FFF2-40B4-BE49-F238E27FC236}">
              <a16:creationId xmlns:a16="http://schemas.microsoft.com/office/drawing/2014/main" id="{1CB35532-B695-45AA-8A3F-6C9F27851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368300</xdr:colOff>
      <xdr:row>6</xdr:row>
      <xdr:rowOff>0</xdr:rowOff>
    </xdr:from>
    <xdr:to>
      <xdr:col>7</xdr:col>
      <xdr:colOff>19050</xdr:colOff>
      <xdr:row>8</xdr:row>
      <xdr:rowOff>88900</xdr:rowOff>
    </xdr:to>
    <xdr:graphicFrame macro="">
      <xdr:nvGraphicFramePr>
        <xdr:cNvPr id="63" name="Chart 62">
          <a:hlinkClick xmlns:r="http://schemas.openxmlformats.org/officeDocument/2006/relationships" r:id="rId7"/>
          <a:extLst>
            <a:ext uri="{FF2B5EF4-FFF2-40B4-BE49-F238E27FC236}">
              <a16:creationId xmlns:a16="http://schemas.microsoft.com/office/drawing/2014/main" id="{D2CD2311-C817-4BB6-9E86-9DA41AAF9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57150</xdr:colOff>
      <xdr:row>6</xdr:row>
      <xdr:rowOff>19050</xdr:rowOff>
    </xdr:from>
    <xdr:to>
      <xdr:col>9</xdr:col>
      <xdr:colOff>603250</xdr:colOff>
      <xdr:row>9</xdr:row>
      <xdr:rowOff>31750</xdr:rowOff>
    </xdr:to>
    <xdr:graphicFrame macro="">
      <xdr:nvGraphicFramePr>
        <xdr:cNvPr id="64" name="Chart 63">
          <a:hlinkClick xmlns:r="http://schemas.openxmlformats.org/officeDocument/2006/relationships" r:id="rId9"/>
          <a:extLst>
            <a:ext uri="{FF2B5EF4-FFF2-40B4-BE49-F238E27FC236}">
              <a16:creationId xmlns:a16="http://schemas.microsoft.com/office/drawing/2014/main" id="{4DAB02B8-C1E3-4585-8324-AA505E8247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xdr:col>
      <xdr:colOff>558800</xdr:colOff>
      <xdr:row>8</xdr:row>
      <xdr:rowOff>158750</xdr:rowOff>
    </xdr:from>
    <xdr:to>
      <xdr:col>9</xdr:col>
      <xdr:colOff>495300</xdr:colOff>
      <xdr:row>12</xdr:row>
      <xdr:rowOff>69850</xdr:rowOff>
    </xdr:to>
    <xdr:pic>
      <xdr:nvPicPr>
        <xdr:cNvPr id="71" name="Picture 70">
          <a:extLst>
            <a:ext uri="{FF2B5EF4-FFF2-40B4-BE49-F238E27FC236}">
              <a16:creationId xmlns:a16="http://schemas.microsoft.com/office/drawing/2014/main" id="{5232E2CC-71D5-41B4-A2CD-0910CCDBEEF9}"/>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168400" y="1631950"/>
          <a:ext cx="4813300" cy="64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552450</xdr:colOff>
      <xdr:row>12</xdr:row>
      <xdr:rowOff>133350</xdr:rowOff>
    </xdr:from>
    <xdr:to>
      <xdr:col>9</xdr:col>
      <xdr:colOff>501650</xdr:colOff>
      <xdr:row>21</xdr:row>
      <xdr:rowOff>177800</xdr:rowOff>
    </xdr:to>
    <xdr:graphicFrame macro="">
      <xdr:nvGraphicFramePr>
        <xdr:cNvPr id="72" name="Chart 71">
          <a:extLst>
            <a:ext uri="{FF2B5EF4-FFF2-40B4-BE49-F238E27FC236}">
              <a16:creationId xmlns:a16="http://schemas.microsoft.com/office/drawing/2014/main" id="{42F70F2D-26ED-404C-8403-BF28DB929B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552450</xdr:colOff>
      <xdr:row>0</xdr:row>
      <xdr:rowOff>57150</xdr:rowOff>
    </xdr:from>
    <xdr:to>
      <xdr:col>12</xdr:col>
      <xdr:colOff>558800</xdr:colOff>
      <xdr:row>9</xdr:row>
      <xdr:rowOff>31750</xdr:rowOff>
    </xdr:to>
    <xdr:graphicFrame macro="">
      <xdr:nvGraphicFramePr>
        <xdr:cNvPr id="73" name="Chart 72">
          <a:extLst>
            <a:ext uri="{FF2B5EF4-FFF2-40B4-BE49-F238E27FC236}">
              <a16:creationId xmlns:a16="http://schemas.microsoft.com/office/drawing/2014/main" id="{3EC9F813-A351-4BDA-AA64-A605E08137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520700</xdr:colOff>
      <xdr:row>0</xdr:row>
      <xdr:rowOff>76200</xdr:rowOff>
    </xdr:from>
    <xdr:to>
      <xdr:col>15</xdr:col>
      <xdr:colOff>590550</xdr:colOff>
      <xdr:row>8</xdr:row>
      <xdr:rowOff>152400</xdr:rowOff>
    </xdr:to>
    <xdr:graphicFrame macro="">
      <xdr:nvGraphicFramePr>
        <xdr:cNvPr id="74" name="Chart 73">
          <a:extLst>
            <a:ext uri="{FF2B5EF4-FFF2-40B4-BE49-F238E27FC236}">
              <a16:creationId xmlns:a16="http://schemas.microsoft.com/office/drawing/2014/main" id="{7FACE2FC-6694-4432-9E1A-ED3B513468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552450</xdr:colOff>
      <xdr:row>8</xdr:row>
      <xdr:rowOff>177800</xdr:rowOff>
    </xdr:from>
    <xdr:to>
      <xdr:col>15</xdr:col>
      <xdr:colOff>539750</xdr:colOff>
      <xdr:row>21</xdr:row>
      <xdr:rowOff>101600</xdr:rowOff>
    </xdr:to>
    <xdr:graphicFrame macro="">
      <xdr:nvGraphicFramePr>
        <xdr:cNvPr id="75" name="Chart 74">
          <a:extLst>
            <a:ext uri="{FF2B5EF4-FFF2-40B4-BE49-F238E27FC236}">
              <a16:creationId xmlns:a16="http://schemas.microsoft.com/office/drawing/2014/main" id="{745E4687-8A9B-41A4-BDA7-B87FBCD68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7</xdr:col>
      <xdr:colOff>361950</xdr:colOff>
      <xdr:row>1</xdr:row>
      <xdr:rowOff>107950</xdr:rowOff>
    </xdr:from>
    <xdr:to>
      <xdr:col>9</xdr:col>
      <xdr:colOff>431800</xdr:colOff>
      <xdr:row>3</xdr:row>
      <xdr:rowOff>95250</xdr:rowOff>
    </xdr:to>
    <mc:AlternateContent xmlns:mc="http://schemas.openxmlformats.org/markup-compatibility/2006" xmlns:a14="http://schemas.microsoft.com/office/drawing/2010/main">
      <mc:Choice Requires="a14">
        <xdr:graphicFrame macro="">
          <xdr:nvGraphicFramePr>
            <xdr:cNvPr id="76" name="Date (Year)">
              <a:extLst>
                <a:ext uri="{FF2B5EF4-FFF2-40B4-BE49-F238E27FC236}">
                  <a16:creationId xmlns:a16="http://schemas.microsoft.com/office/drawing/2014/main" id="{E43B8028-E565-474B-A536-182B99B0366C}"/>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629150" y="292100"/>
              <a:ext cx="1289050" cy="355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0.19723</cdr:x>
      <cdr:y>0.84047</cdr:y>
    </cdr:from>
    <cdr:to>
      <cdr:x>0.9308</cdr:x>
      <cdr:y>0.9572</cdr:y>
    </cdr:to>
    <cdr:sp macro="" textlink="">
      <cdr:nvSpPr>
        <cdr:cNvPr id="2" name="TextBox 1">
          <a:extLst xmlns:a="http://schemas.openxmlformats.org/drawingml/2006/main">
            <a:ext uri="{FF2B5EF4-FFF2-40B4-BE49-F238E27FC236}">
              <a16:creationId xmlns:a16="http://schemas.microsoft.com/office/drawing/2014/main" id="{45C2DB63-8268-4FF8-BEB6-5F2DEC892B16}"/>
            </a:ext>
          </a:extLst>
        </cdr:cNvPr>
        <cdr:cNvSpPr txBox="1"/>
      </cdr:nvSpPr>
      <cdr:spPr>
        <a:xfrm xmlns:a="http://schemas.openxmlformats.org/drawingml/2006/main">
          <a:off x="361950" y="1371600"/>
          <a:ext cx="1346200" cy="1905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userShapes>
</file>

<file path=xl/drawings/drawing3.xml><?xml version="1.0" encoding="utf-8"?>
<xdr:wsDr xmlns:xdr="http://schemas.openxmlformats.org/drawingml/2006/spreadsheetDrawing" xmlns:a="http://schemas.openxmlformats.org/drawingml/2006/main">
  <xdr:twoCellAnchor>
    <xdr:from>
      <xdr:col>3</xdr:col>
      <xdr:colOff>12700</xdr:colOff>
      <xdr:row>26</xdr:row>
      <xdr:rowOff>6350</xdr:rowOff>
    </xdr:from>
    <xdr:to>
      <xdr:col>4</xdr:col>
      <xdr:colOff>6350</xdr:colOff>
      <xdr:row>27</xdr:row>
      <xdr:rowOff>165100</xdr:rowOff>
    </xdr:to>
    <xdr:graphicFrame macro="">
      <xdr:nvGraphicFramePr>
        <xdr:cNvPr id="9" name="Chart 8">
          <a:extLst>
            <a:ext uri="{FF2B5EF4-FFF2-40B4-BE49-F238E27FC236}">
              <a16:creationId xmlns:a16="http://schemas.microsoft.com/office/drawing/2014/main" id="{7896E0DA-BF92-4E2A-A074-64E45CD4A0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0</xdr:row>
      <xdr:rowOff>171450</xdr:rowOff>
    </xdr:from>
    <xdr:to>
      <xdr:col>16</xdr:col>
      <xdr:colOff>546100</xdr:colOff>
      <xdr:row>21</xdr:row>
      <xdr:rowOff>171450</xdr:rowOff>
    </xdr:to>
    <xdr:graphicFrame macro="">
      <xdr:nvGraphicFramePr>
        <xdr:cNvPr id="2" name="Chart 1">
          <a:extLst>
            <a:ext uri="{FF2B5EF4-FFF2-40B4-BE49-F238E27FC236}">
              <a16:creationId xmlns:a16="http://schemas.microsoft.com/office/drawing/2014/main" id="{E9115BFB-7888-43D0-A2CE-E70E9B6E5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273050</xdr:colOff>
      <xdr:row>1</xdr:row>
      <xdr:rowOff>88901</xdr:rowOff>
    </xdr:from>
    <xdr:to>
      <xdr:col>1</xdr:col>
      <xdr:colOff>328257</xdr:colOff>
      <xdr:row>4</xdr:row>
      <xdr:rowOff>6350</xdr:rowOff>
    </xdr:to>
    <xdr:pic>
      <xdr:nvPicPr>
        <xdr:cNvPr id="8" name="Picture 7">
          <a:hlinkClick xmlns:r="http://schemas.openxmlformats.org/officeDocument/2006/relationships" r:id="rId2"/>
          <a:extLst>
            <a:ext uri="{FF2B5EF4-FFF2-40B4-BE49-F238E27FC236}">
              <a16:creationId xmlns:a16="http://schemas.microsoft.com/office/drawing/2014/main" id="{88110ACF-C912-4B2D-A81B-88FCAAEF630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73050" y="273051"/>
          <a:ext cx="664807" cy="46989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6350</xdr:rowOff>
    </xdr:from>
    <xdr:to>
      <xdr:col>16</xdr:col>
      <xdr:colOff>114300</xdr:colOff>
      <xdr:row>19</xdr:row>
      <xdr:rowOff>171450</xdr:rowOff>
    </xdr:to>
    <xdr:graphicFrame macro="">
      <xdr:nvGraphicFramePr>
        <xdr:cNvPr id="2" name="Chart 1">
          <a:hlinkClick xmlns:r="http://schemas.openxmlformats.org/officeDocument/2006/relationships" r:id="rId1"/>
          <a:extLst>
            <a:ext uri="{FF2B5EF4-FFF2-40B4-BE49-F238E27FC236}">
              <a16:creationId xmlns:a16="http://schemas.microsoft.com/office/drawing/2014/main" id="{AD628607-BFEE-45CF-B335-DF388C0D6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0.00714</cdr:x>
      <cdr:y>0.01659</cdr:y>
    </cdr:from>
    <cdr:to>
      <cdr:x>0.09233</cdr:x>
      <cdr:y>0.20004</cdr:y>
    </cdr:to>
    <cdr:pic>
      <cdr:nvPicPr>
        <cdr:cNvPr id="5" name="Picture 4">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6A28CFD-37D4-4BDE-B45C-0779C397034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70017" y="60256"/>
          <a:ext cx="835805" cy="666339"/>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31750</xdr:rowOff>
    </xdr:from>
    <xdr:to>
      <xdr:col>16</xdr:col>
      <xdr:colOff>114300</xdr:colOff>
      <xdr:row>20</xdr:row>
      <xdr:rowOff>31750</xdr:rowOff>
    </xdr:to>
    <xdr:graphicFrame macro="">
      <xdr:nvGraphicFramePr>
        <xdr:cNvPr id="2" name="Chart 1">
          <a:extLst>
            <a:ext uri="{FF2B5EF4-FFF2-40B4-BE49-F238E27FC236}">
              <a16:creationId xmlns:a16="http://schemas.microsoft.com/office/drawing/2014/main" id="{BADD2D88-5697-4CD5-A834-6C4A6D3BB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38100</xdr:colOff>
      <xdr:row>0</xdr:row>
      <xdr:rowOff>19050</xdr:rowOff>
    </xdr:from>
    <xdr:to>
      <xdr:col>26</xdr:col>
      <xdr:colOff>397124</xdr:colOff>
      <xdr:row>20</xdr:row>
      <xdr:rowOff>167914</xdr:rowOff>
    </xdr:to>
    <xdr:pic>
      <xdr:nvPicPr>
        <xdr:cNvPr id="6" name="Picture 5">
          <a:extLst>
            <a:ext uri="{FF2B5EF4-FFF2-40B4-BE49-F238E27FC236}">
              <a16:creationId xmlns:a16="http://schemas.microsoft.com/office/drawing/2014/main" id="{E16E0ADC-8441-4959-B204-EB9F3097B4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01300" y="19050"/>
          <a:ext cx="5845424" cy="3958864"/>
        </a:xfrm>
        <a:prstGeom prst="rect">
          <a:avLst/>
        </a:prstGeom>
      </xdr:spPr>
    </xdr:pic>
    <xdr:clientData/>
  </xdr:twoCellAnchor>
</xdr:wsDr>
</file>

<file path=xl/drawings/drawing8.xml><?xml version="1.0" encoding="utf-8"?>
<c:userShapes xmlns:c="http://schemas.openxmlformats.org/drawingml/2006/chart">
  <cdr:relSizeAnchor xmlns:cdr="http://schemas.openxmlformats.org/drawingml/2006/chartDrawing">
    <cdr:from>
      <cdr:x>0.04376</cdr:x>
      <cdr:y>0.01724</cdr:y>
    </cdr:from>
    <cdr:to>
      <cdr:x>0.09717</cdr:x>
      <cdr:y>0.11207</cdr:y>
    </cdr:to>
    <cdr:pic>
      <cdr:nvPicPr>
        <cdr:cNvPr id="3" name="Picture 2">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91D1785-168A-47B1-ADC4-D37D19726B6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431801" y="63500"/>
          <a:ext cx="527050" cy="34925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𝓐𝓿𝓲𝓷𝓪𝓼𝓱 " refreshedDate="45778.286577662038" createdVersion="5" refreshedVersion="7" minRefreshableVersion="3" recordCount="0" supportSubquery="1" supportAdvancedDrill="1" xr:uid="{B7E057D7-C248-4331-8E32-8598C30C71F7}">
  <cacheSource type="external" connectionId="3"/>
  <cacheFields count="4">
    <cacheField name="[Calendar_Table].[Date (Month)].[Date (Month)]" caption="Date (Month)" numFmtId="0" hierarchy="1" level="1">
      <sharedItems containsNonDate="0" count="8">
        <s v="May"/>
        <s v="Jun"/>
        <s v="Jul"/>
        <s v="Aug"/>
        <s v="Sep"/>
        <s v="Oct"/>
        <s v="Nov"/>
        <s v="Dec"/>
      </sharedItems>
    </cacheField>
    <cacheField name="[Calendar_Table].[Date].[Date]" caption="Date" numFmtId="0" level="1">
      <sharedItems containsSemiMixedTypes="0" containsNonDate="0" containsDate="1" containsString="0" minDate="2023-05-01T00:00:00" maxDate="2025-01-01T00:00:00" count="49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alendar_Table].[Date (Quarter)].[Date (Quarter)]" caption="Date (Quarter)" numFmtId="0" hierarchy="4" level="1">
      <sharedItems containsNonDate="0" count="3">
        <s v="Qtr2"/>
        <s v="Qtr3"/>
        <s v="Qtr4"/>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𝓐𝓿𝓲𝓷𝓪𝓼𝓱 " refreshedDate="45778.286577777777" createdVersion="5" refreshedVersion="7" minRefreshableVersion="3" recordCount="0" supportSubquery="1" supportAdvancedDrill="1" xr:uid="{0D14E292-B33F-4EEF-A2A3-5DD2B94DBE92}">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𝓐𝓿𝓲𝓷𝓪𝓼𝓱 " refreshedDate="45778.286578240739" createdVersion="5" refreshedVersion="7" minRefreshableVersion="3" recordCount="0" supportSubquery="1" supportAdvancedDrill="1" xr:uid="{7E9912C9-33BE-4F1F-803D-5D640C39FE31}">
  <cacheSource type="external" connectionId="3"/>
  <cacheFields count="4">
    <cacheField name="[Calendar_Table].[Date (Month)].[Date (Month)]" caption="Date (Month)" numFmtId="0" hierarchy="1" level="1">
      <sharedItems containsSemiMixedTypes="0" containsNonDate="0" containsString="0"/>
    </cacheField>
    <cacheField name="[Measures].[Count of Patient Gender]" caption="Count of Patient Gender" numFmtId="0" hierarchy="32" level="32767"/>
    <cacheField name="[Hospital Emergency Room Data].[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𝓐𝓿𝓲𝓷𝓪𝓼𝓱 " refreshedDate="45778.286578703701" createdVersion="5" refreshedVersion="7" minRefreshableVersion="3" recordCount="0" supportSubquery="1" supportAdvancedDrill="1" xr:uid="{11350E20-134C-488B-8D1B-712B9C92A0E3}">
  <cacheSource type="external" connectionId="3"/>
  <cacheFields count="4">
    <cacheField name="[Calendar_Table].[Date (Month)].[Date (Month)]" caption="Date (Month)" numFmtId="0" hierarchy="1" level="1">
      <sharedItems containsSemiMixedTypes="0" containsNonDate="0" containsString="0"/>
    </cacheField>
    <cacheField name="[Measures].[Count of Department Referral]" caption="Count of Department Referral" numFmtId="0" hierarchy="33" level="32767"/>
    <cacheField name="[Hospital Emergency Room Data].[Department Referral].[Department Referral]" caption="Department Referral" numFmtId="0" hierarchy="12" level="1">
      <sharedItems count="7">
        <s v="Cardiology"/>
        <s v="Gastroenterology"/>
        <s v="General Practice"/>
        <s v="None"/>
        <s v="Orthopedics"/>
        <s v="Physiotherapy"/>
        <s v="Renal"/>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𝓐𝓿𝓲𝓷𝓪𝓼𝓱 " refreshedDate="45778.286578819447" createdVersion="5" refreshedVersion="7" minRefreshableVersion="3" recordCount="0" supportSubquery="1" supportAdvancedDrill="1" xr:uid="{E8079873-C0C3-46D6-8222-D4FB54922FC6}">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𝓐𝓿𝓲𝓷𝓪𝓼𝓱 " refreshedDate="45778.28657916667" createdVersion="5" refreshedVersion="7" minRefreshableVersion="3" recordCount="0" supportSubquery="1" supportAdvancedDrill="1" xr:uid="{BCB23FBF-2CCB-419E-A3B7-055AC3726389}">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𝓐𝓿𝓲𝓷𝓪𝓼𝓱 " refreshedDate="45778.286579513886" createdVersion="5" refreshedVersion="7" minRefreshableVersion="3" recordCount="0" supportSubquery="1" supportAdvancedDrill="1" xr:uid="{8064D720-9906-4760-93F9-2926C2B0E1F8}">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10">
        <s v="1-Apr"/>
        <s v="2-Apr"/>
        <s v="3-Apr"/>
        <s v="4-Apr"/>
        <s v="5-Apr"/>
        <s v="6-Apr"/>
        <s v="7-Apr"/>
        <s v="8-Apr"/>
        <s v="9-Apr"/>
        <s v="10-Apr"/>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𝓐𝓿𝓲𝓷𝓪𝓼𝓱 " refreshedDate="45778.286579976855" createdVersion="5" refreshedVersion="7" minRefreshableVersion="3" recordCount="0" supportSubquery="1" supportAdvancedDrill="1" xr:uid="{532E0F88-19AA-4BE4-8986-CB7CC4EE49E9}">
  <cacheSource type="external" connectionId="3"/>
  <cacheFields count="4">
    <cacheField name="[Calendar_Table].[Date (Day)].[Date (Day)]" caption="Date (Day)" numFmtId="0" hierarchy="2" level="1">
      <sharedItems count="10">
        <s v="1-Apr"/>
        <s v="2-Apr"/>
        <s v="3-Apr"/>
        <s v="4-Apr"/>
        <s v="5-Apr"/>
        <s v="6-Apr"/>
        <s v="7-Apr"/>
        <s v="8-Apr"/>
        <s v="9-Apr"/>
        <s v="10-Apr"/>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𝓐𝓿𝓲𝓷𝓪𝓼𝓱 " refreshedDate="45778.286580324071" createdVersion="5" refreshedVersion="7" minRefreshableVersion="3" recordCount="0" supportSubquery="1" supportAdvancedDrill="1" xr:uid="{E6CC26E4-78A7-4375-B783-BF1ED471F090}">
  <cacheSource type="external" connectionId="3"/>
  <cacheFields count="4">
    <cacheField name="[Calendar_Table].[Date (Day)].[Date (Day)]" caption="Date (Day)" numFmtId="0" hierarchy="2" level="1">
      <sharedItems count="10">
        <s v="1-Apr"/>
        <s v="2-Apr"/>
        <s v="3-Apr"/>
        <s v="4-Apr"/>
        <s v="5-Apr"/>
        <s v="6-Apr"/>
        <s v="7-Apr"/>
        <s v="8-Apr"/>
        <s v="9-Apr"/>
        <s v="10-Apr"/>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𝓐𝓿𝓲𝓷𝓪𝓼𝓱 " refreshedDate="45778.286580671294" createdVersion="5" refreshedVersion="7" minRefreshableVersion="3" recordCount="0" supportSubquery="1" supportAdvancedDrill="1" xr:uid="{4E65A526-7F84-4FE8-8AB2-3F36A8E4CE6A}">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𝓐𝓿𝓲𝓷𝓪𝓼𝓱 " refreshedDate="45778.286581018518" createdVersion="5" refreshedVersion="7" minRefreshableVersion="3" recordCount="0" supportSubquery="1" supportAdvancedDrill="1" xr:uid="{E422EF31-2DEF-4F0E-9D25-ED9BC74003F5}">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 70-79"/>
        <s v="0-09"/>
        <s v="10-19"/>
        <s v="20-29"/>
        <s v="30-39"/>
        <s v="40-49"/>
        <s v="50-59"/>
        <s v="60-6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𝓐𝓿𝓲𝓷𝓪𝓼𝓱 " refreshedDate="45778.28658148148" createdVersion="5" refreshedVersion="7" minRefreshableVersion="3" recordCount="0" supportSubquery="1" supportAdvancedDrill="1" xr:uid="{B9418BFE-4CFF-4BEF-B0CE-292EAFBEA542}">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lu Singh" refreshedDate="45778.137150462964" createdVersion="3" refreshedVersion="7" minRefreshableVersion="3" recordCount="0" supportSubquery="1" supportAdvancedDrill="1" xr:uid="{7E34261C-4D71-4E64-B7EB-FD47FD5A1BA1}">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2665126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834779-226B-4BFC-B8DF-A9AF8412180E}" name="PivotTable4" cacheId="213" applyNumberFormats="0" applyBorderFormats="0" applyFontFormats="0" applyPatternFormats="0" applyAlignmentFormats="0" applyWidthHeightFormats="1" dataCaption="Values" tag="19fea3f8-2974-49d2-9f76-9a86aecc5488" updatedVersion="7" minRefreshableVersion="3" subtotalHiddenItems="1" itemPrintTitles="1" createdVersion="5" indent="0" showHeaders="0" outline="1" outlineData="1" multipleFieldFilters="0" chartFormat="5">
  <location ref="E4:F15" firstHeaderRow="1" firstDataRow="1" firstDataCol="1"/>
  <pivotFields count="4">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979862-3625-4F26-BAF9-8D154AEE0E41}" name="PivotTable9" cacheId="228" applyNumberFormats="0" applyBorderFormats="0" applyFontFormats="0" applyPatternFormats="0" applyAlignmentFormats="0" applyWidthHeightFormats="1" dataCaption="Values" tag="fc0edde8-12b5-4674-b558-4b54f666bbca" updatedVersion="7" minRefreshableVersion="3" subtotalHiddenItems="1" itemPrintTitles="1" createdVersion="5" indent="0" showHeaders="0" outline="1" outlineData="1" multipleFieldFilters="0" chartFormat="23">
  <location ref="A45:B4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90">
      <pivotArea outline="0" collapsedLevelsAreSubtotals="1" fieldPosition="0"/>
    </format>
  </formats>
  <chartFormats count="3">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1" count="1" selected="0">
            <x v="0"/>
          </reference>
        </references>
      </pivotArea>
    </chartFormat>
    <chartFormat chart="22"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E3AFB1-850E-4105-8D6C-8F57E151BB9B}" name="PivotTable3" cacheId="210" applyNumberFormats="0" applyBorderFormats="0" applyFontFormats="0" applyPatternFormats="0" applyAlignmentFormats="0" applyWidthHeightFormats="1" dataCaption="Values" tag="abe47fa5-16d4-43e8-b179-ef138f0aa1fa" updatedVersion="7" minRefreshableVersion="3" subtotalHiddenItems="1" itemPrintTitles="1" createdVersion="5" indent="0" showHeaders="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91">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A8A558-05F2-4713-A652-8272E3E55F6A}" name="PivotTable8" cacheId="225" applyNumberFormats="0" applyBorderFormats="0" applyFontFormats="0" applyPatternFormats="0" applyAlignmentFormats="0" applyWidthHeightFormats="1" dataCaption="Values" tag="123fa67c-cf2e-4574-bd21-cc775ce84e0f" updatedVersion="7" minRefreshableVersion="3" subtotalHiddenItems="1" itemPrintTitles="1" createdVersion="5" indent="0" showHeaders="0" outline="1" outlineData="1" multipleFieldFilters="0" chartFormat="18">
  <location ref="A32:B4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92">
      <pivotArea outline="0" collapsedLevelsAreSubtotals="1" fieldPosition="0"/>
    </format>
  </formats>
  <chartFormats count="1">
    <chartFormat chart="1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63ED63-B816-4EDD-8C25-3F8B969290D1}" name="PivotTable2" cacheId="207" applyNumberFormats="0" applyBorderFormats="0" applyFontFormats="0" applyPatternFormats="0" applyAlignmentFormats="0" applyWidthHeightFormats="1" dataCaption="Values" tag="86c21816-c19e-470a-87eb-c64b84c8c688" updatedVersion="7" minRefreshableVersion="3" subtotalHiddenItems="1" itemPrintTitles="1" createdVersion="5" indent="0" showHeaders="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93">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530FAD-6B65-453C-B654-EE10F0D0747A}" name="PivotTable7" cacheId="222" applyNumberFormats="0" applyBorderFormats="0" applyFontFormats="0" applyPatternFormats="0" applyAlignmentFormats="0" applyWidthHeightFormats="1" dataCaption="Values" tag="d8f66e05-151f-45af-8cb7-fd2aa6b0e300" updatedVersion="7" minRefreshableVersion="3" subtotalHiddenItems="1" itemPrintTitles="1" createdVersion="5" indent="0" showHeaders="0" outline="1" outlineData="1" multipleFieldFilters="0" chartFormat="14">
  <location ref="A19:C22"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4">
    <format dxfId="97">
      <pivotArea outline="0" collapsedLevelsAreSubtotals="1" fieldPosition="0"/>
    </format>
    <format dxfId="96">
      <pivotArea outline="0" fieldPosition="0">
        <references count="1">
          <reference field="4294967294" count="1">
            <x v="1"/>
          </reference>
        </references>
      </pivotArea>
    </format>
    <format dxfId="95">
      <pivotArea outline="0" collapsedLevelsAreSubtotals="1" fieldPosition="0">
        <references count="1">
          <reference field="4294967294" count="1" selected="0">
            <x v="0"/>
          </reference>
        </references>
      </pivotArea>
    </format>
    <format dxfId="94">
      <pivotArea dataOnly="0" labelOnly="1" outline="0" fieldPosition="0">
        <references count="1">
          <reference field="4294967294" count="1">
            <x v="0"/>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095E24-4B93-4DDF-867F-17282EE10EA4}" name="PivotTable12" cacheId="195" applyNumberFormats="0" applyBorderFormats="0" applyFontFormats="0" applyPatternFormats="0" applyAlignmentFormats="0" applyWidthHeightFormats="1" dataCaption="Values" tag="117e5d97-1a22-406e-be4d-48a5c3cef4bb" updatedVersion="7" minRefreshableVersion="3" subtotalHiddenItems="1" itemPrintTitles="1" createdVersion="5" indent="0" showHeaders="0" outline="1" outlineData="1" multipleFieldFilters="0" chartFormat="42">
  <location ref="A69:A70" firstHeaderRow="0" firstDataRow="0" firstDataCol="1"/>
  <pivotFields count="4">
    <pivotField axis="axisRow" allDrilled="1" subtotalTop="0" showAll="0" dataSourceSort="1" defaultSubtotal="0">
      <items count="8">
        <item x="0" e="0"/>
        <item x="1" e="0"/>
        <item x="2" e="0"/>
        <item x="3" e="0"/>
        <item x="4" e="0"/>
        <item x="5" e="0"/>
        <item x="6" e="0"/>
        <item x="7" e="0"/>
      </items>
    </pivotField>
    <pivotField axis="axisRow" allDrilled="1" subtotalTop="0" showAll="0" dataSourceSort="1" defaultSubtotal="0" defaultAttributeDrillState="1">
      <items count="4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s>
    </pivotField>
    <pivotField axis="axisRow" allDrilled="1" subtotalTop="0" showAll="0" dataSourceSort="1" defaultSubtotal="0">
      <items count="3">
        <item x="0" e="0"/>
        <item x="1" e="0"/>
        <item x="2"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98">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DBDBF4-1EEF-41C8-A62D-99AE6E01A9FD}" name="PivotTable11" cacheId="204" applyNumberFormats="0" applyBorderFormats="0" applyFontFormats="0" applyPatternFormats="0" applyAlignmentFormats="0" applyWidthHeightFormats="1" dataCaption="Values" tag="4ea723b9-2cc2-4ad1-a143-667aa5b5e2b6" updatedVersion="7" minRefreshableVersion="3" subtotalHiddenItems="1" itemPrintTitles="1" createdVersion="5" indent="0" showHeaders="0" outline="1" outlineData="1" multipleFieldFilters="0" chartFormat="42">
  <location ref="A57:B6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8">
    <i>
      <x v="6"/>
    </i>
    <i>
      <x/>
    </i>
    <i>
      <x v="1"/>
    </i>
    <i>
      <x v="5"/>
    </i>
    <i>
      <x v="4"/>
    </i>
    <i>
      <x v="2"/>
    </i>
    <i>
      <x v="3"/>
    </i>
    <i t="grand">
      <x/>
    </i>
  </rowItems>
  <colItems count="1">
    <i/>
  </colItems>
  <dataFields count="1">
    <dataField name="Count of Department Referral" fld="1" subtotal="count" baseField="0" baseItem="0"/>
  </dataFields>
  <formats count="1">
    <format dxfId="99">
      <pivotArea outline="0" collapsedLevelsAreSubtotals="1" fieldPosition="0"/>
    </format>
  </formats>
  <chartFormats count="1">
    <chartFormat chart="4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2D935D-76BA-4860-881D-C729DFDC1DA3}" name="PivotTable1" cacheId="198" applyNumberFormats="0" applyBorderFormats="0" applyFontFormats="0" applyPatternFormats="0" applyAlignmentFormats="0" applyWidthHeightFormats="1" dataCaption="Values" tag="097e4bea-6c72-4bb0-8b1d-7e0ec3071edd" updatedVersion="7" minRefreshableVersion="3" subtotalHiddenItems="1" itemPrintTitles="1" createdVersion="5" indent="0" showHeaders="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0D7CD44-1A0A-4761-A5B0-144BDE7EBA16}" name="PivotTable6" cacheId="219" applyNumberFormats="0" applyBorderFormats="0" applyFontFormats="0" applyPatternFormats="0" applyAlignmentFormats="0" applyWidthHeightFormats="1" dataCaption="Values" tag="8baaba45-d1f8-4bd0-8a72-e27d1d4f5b8f" updatedVersion="7" minRefreshableVersion="3" subtotalHiddenItems="1" itemPrintTitles="1" createdVersion="5" indent="0" showHeaders="0" outline="1" outlineData="1" multipleFieldFilters="0" chartFormat="20">
  <location ref="L4:M15" firstHeaderRow="1"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Average of Patient Satisfaction Score" fld="2" subtotal="average" baseField="0" baseItem="0"/>
  </dataFields>
  <formats count="2">
    <format dxfId="101">
      <pivotArea outline="0" collapsedLevelsAreSubtotals="1" fieldPosition="0"/>
    </format>
    <format dxfId="100">
      <pivotArea dataOnly="0" labelOnly="1" outline="0" axis="axisValues" fieldPosition="0"/>
    </format>
  </formats>
  <chartFormats count="2">
    <chartFormat chart="16"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6D2F480-B218-400B-930C-4581F7045B16}" name="PivotTable10" cacheId="201" applyNumberFormats="0" applyBorderFormats="0" applyFontFormats="0" applyPatternFormats="0" applyAlignmentFormats="0" applyWidthHeightFormats="1" dataCaption="Values" tag="5a0b5202-f910-4cf5-96a5-0e86412f6344" updatedVersion="7" minRefreshableVersion="3" subtotalHiddenItems="1" itemPrintTitles="1" createdVersion="5" indent="0" showHeaders="0" outline="1" outlineData="1" multipleFieldFilters="0" chartFormat="38">
  <location ref="A51:B5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1">
    <format dxfId="102">
      <pivotArea outline="0" collapsedLevelsAreSubtotals="1" fieldPosition="0"/>
    </format>
  </formats>
  <chartFormats count="3">
    <chartFormat chart="37" format="13" series="1">
      <pivotArea type="data" outline="0" fieldPosition="0">
        <references count="1">
          <reference field="4294967294" count="1" selected="0">
            <x v="0"/>
          </reference>
        </references>
      </pivotArea>
    </chartFormat>
    <chartFormat chart="37" format="14">
      <pivotArea type="data" outline="0" fieldPosition="0">
        <references count="2">
          <reference field="4294967294" count="1" selected="0">
            <x v="0"/>
          </reference>
          <reference field="2" count="1" selected="0">
            <x v="0"/>
          </reference>
        </references>
      </pivotArea>
    </chartFormat>
    <chartFormat chart="37" format="15">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6C9B043-FA50-4014-8FAB-9745AEEC36E2}" name="PivotTable5" cacheId="216" applyNumberFormats="0" applyBorderFormats="0" applyFontFormats="0" applyPatternFormats="0" applyAlignmentFormats="0" applyWidthHeightFormats="1" dataCaption="Values" tag="93dcfa53-e594-4705-a339-410e5cde086d" updatedVersion="7" minRefreshableVersion="3" subtotalHiddenItems="1" itemPrintTitles="1" createdVersion="5" indent="0" showHeaders="0" outline="1" outlineData="1" multipleFieldFilters="0" chartFormat="13">
  <location ref="I4:J15" firstHeaderRow="1"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Average of Patient Waittime" fld="2" subtotal="average" baseField="0" baseItem="0" numFmtId="2"/>
  </dataFields>
  <formats count="2">
    <format dxfId="104">
      <pivotArea outline="0" collapsedLevelsAreSubtotals="1" fieldPosition="0"/>
    </format>
    <format dxfId="103">
      <pivotArea dataOnly="0" labelOnly="1" outline="0" axis="axisValues" fieldPosition="0"/>
    </format>
  </formats>
  <chartFormats count="2">
    <chartFormat chart="8"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51EDE60A-F74C-421C-B821-6455A5A18905}"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266512631">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D3D47AB-EA56-4F2A-B4D3-C480617E5379}"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266512631">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4B2CE237-7A72-494A-9693-B1D87CC0FE37}" cache="Slicer_Date__Month" caption="Date (Month)" showCaption="0" level="1" style="SlicerStyle2" rowHeight="241300"/>
  <slicer name="Date (Year)" xr10:uid="{F5EEA4AF-0768-484D-A0EA-12A9AC95A581}" cache="Slicer_Date__Year" caption="Date (Year)" columnCount="2" showCaption="0" level="1" style="SlicerStyle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F9531-86B8-44B4-A4A7-A25571B3EC24}">
  <dimension ref="A1"/>
  <sheetViews>
    <sheetView workbookViewId="0">
      <selection activeCell="S5" sqref="S5"/>
    </sheetView>
  </sheetViews>
  <sheetFormatPr defaultColWidth="8.7109375" defaultRowHeight="15" x14ac:dyDescent="0.25"/>
  <cols>
    <col min="1" max="16384" width="8.7109375" style="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B7D74-00CE-49F4-8074-B7ECBDAD61A2}">
  <dimension ref="A1:M70"/>
  <sheetViews>
    <sheetView topLeftCell="A3" workbookViewId="0">
      <selection activeCell="R16" sqref="R16"/>
    </sheetView>
  </sheetViews>
  <sheetFormatPr defaultRowHeight="15" x14ac:dyDescent="0.25"/>
  <cols>
    <col min="1" max="1" width="16" customWidth="1"/>
    <col min="2" max="2" width="12.140625" customWidth="1"/>
    <col min="3" max="3" width="11.85546875" customWidth="1"/>
    <col min="4" max="4" width="23.85546875" customWidth="1"/>
    <col min="5" max="5" width="24.5703125" customWidth="1"/>
    <col min="6" max="6" width="24.28515625" customWidth="1"/>
    <col min="7" max="7" width="7.5703125" customWidth="1"/>
    <col min="9" max="9" width="20.7109375" customWidth="1"/>
    <col min="10" max="10" width="23.7109375" customWidth="1"/>
    <col min="11" max="11" width="8.85546875" customWidth="1"/>
    <col min="12" max="12" width="24.140625" customWidth="1"/>
    <col min="13" max="13" width="25.85546875" customWidth="1"/>
  </cols>
  <sheetData>
    <row r="1" spans="1:13" ht="9.6" customHeight="1" x14ac:dyDescent="0.25"/>
    <row r="3" spans="1:13" x14ac:dyDescent="0.25">
      <c r="A3" t="s">
        <v>2</v>
      </c>
      <c r="E3" t="s">
        <v>16</v>
      </c>
      <c r="I3" t="s">
        <v>17</v>
      </c>
      <c r="L3" t="s">
        <v>18</v>
      </c>
    </row>
    <row r="4" spans="1:13" x14ac:dyDescent="0.25">
      <c r="A4" t="s">
        <v>1</v>
      </c>
      <c r="F4" t="s">
        <v>1</v>
      </c>
      <c r="J4" s="4" t="s">
        <v>3</v>
      </c>
      <c r="M4" s="4" t="s">
        <v>4</v>
      </c>
    </row>
    <row r="5" spans="1:13" x14ac:dyDescent="0.25">
      <c r="A5" s="2">
        <v>156</v>
      </c>
      <c r="E5" s="1" t="s">
        <v>6</v>
      </c>
      <c r="F5" s="2">
        <v>22</v>
      </c>
      <c r="I5" s="1" t="s">
        <v>6</v>
      </c>
      <c r="J5" s="4">
        <v>34.5</v>
      </c>
      <c r="L5" s="1" t="s">
        <v>6</v>
      </c>
      <c r="M5" s="4">
        <v>4.8</v>
      </c>
    </row>
    <row r="6" spans="1:13" x14ac:dyDescent="0.25">
      <c r="E6" s="1" t="s">
        <v>7</v>
      </c>
      <c r="F6" s="2">
        <v>12</v>
      </c>
      <c r="I6" s="1" t="s">
        <v>7</v>
      </c>
      <c r="J6" s="4">
        <v>34.583333333333336</v>
      </c>
      <c r="L6" s="1" t="s">
        <v>7</v>
      </c>
      <c r="M6" s="4">
        <v>7</v>
      </c>
    </row>
    <row r="7" spans="1:13" x14ac:dyDescent="0.25">
      <c r="E7" s="1" t="s">
        <v>8</v>
      </c>
      <c r="F7" s="2">
        <v>14</v>
      </c>
      <c r="I7" s="1" t="s">
        <v>8</v>
      </c>
      <c r="J7" s="4">
        <v>35.071428571428569</v>
      </c>
      <c r="L7" s="1" t="s">
        <v>8</v>
      </c>
      <c r="M7" s="4">
        <v>2.75</v>
      </c>
    </row>
    <row r="8" spans="1:13" x14ac:dyDescent="0.25">
      <c r="A8" t="s">
        <v>3</v>
      </c>
      <c r="E8" s="1" t="s">
        <v>9</v>
      </c>
      <c r="F8" s="2">
        <v>20</v>
      </c>
      <c r="I8" s="1" t="s">
        <v>9</v>
      </c>
      <c r="J8" s="4">
        <v>34.049999999999997</v>
      </c>
      <c r="L8" s="1" t="s">
        <v>9</v>
      </c>
      <c r="M8" s="4">
        <v>5.666666666666667</v>
      </c>
    </row>
    <row r="9" spans="1:13" x14ac:dyDescent="0.25">
      <c r="A9" s="4">
        <v>35.339743589743591</v>
      </c>
      <c r="E9" s="1" t="s">
        <v>10</v>
      </c>
      <c r="F9" s="2">
        <v>15</v>
      </c>
      <c r="I9" s="1" t="s">
        <v>10</v>
      </c>
      <c r="J9" s="4">
        <v>38.866666666666667</v>
      </c>
      <c r="L9" s="1" t="s">
        <v>10</v>
      </c>
      <c r="M9" s="4">
        <v>6</v>
      </c>
    </row>
    <row r="10" spans="1:13" x14ac:dyDescent="0.25">
      <c r="E10" s="1" t="s">
        <v>11</v>
      </c>
      <c r="F10" s="2">
        <v>15</v>
      </c>
      <c r="I10" s="1" t="s">
        <v>11</v>
      </c>
      <c r="J10" s="4">
        <v>30.4</v>
      </c>
      <c r="L10" s="1" t="s">
        <v>11</v>
      </c>
      <c r="M10" s="4">
        <v>5.8</v>
      </c>
    </row>
    <row r="11" spans="1:13" x14ac:dyDescent="0.25">
      <c r="E11" s="1" t="s">
        <v>12</v>
      </c>
      <c r="F11" s="2">
        <v>9</v>
      </c>
      <c r="I11" s="1" t="s">
        <v>12</v>
      </c>
      <c r="J11" s="4">
        <v>33.777777777777779</v>
      </c>
      <c r="L11" s="1" t="s">
        <v>12</v>
      </c>
      <c r="M11" s="4">
        <v>2</v>
      </c>
    </row>
    <row r="12" spans="1:13" x14ac:dyDescent="0.25">
      <c r="A12" t="s">
        <v>4</v>
      </c>
      <c r="E12" s="1" t="s">
        <v>13</v>
      </c>
      <c r="F12" s="2">
        <v>17</v>
      </c>
      <c r="I12" s="1" t="s">
        <v>13</v>
      </c>
      <c r="J12" s="4">
        <v>42.823529411764703</v>
      </c>
      <c r="L12" s="1" t="s">
        <v>13</v>
      </c>
      <c r="M12" s="4">
        <v>4.5</v>
      </c>
    </row>
    <row r="13" spans="1:13" x14ac:dyDescent="0.25">
      <c r="A13" s="4">
        <v>5.1956521739130439</v>
      </c>
      <c r="E13" s="1" t="s">
        <v>14</v>
      </c>
      <c r="F13" s="2">
        <v>16</v>
      </c>
      <c r="I13" s="1" t="s">
        <v>14</v>
      </c>
      <c r="J13" s="4">
        <v>32</v>
      </c>
      <c r="L13" s="1" t="s">
        <v>14</v>
      </c>
      <c r="M13" s="4">
        <v>5.6</v>
      </c>
    </row>
    <row r="14" spans="1:13" x14ac:dyDescent="0.25">
      <c r="E14" s="1" t="s">
        <v>15</v>
      </c>
      <c r="F14" s="2">
        <v>16</v>
      </c>
      <c r="I14" s="1" t="s">
        <v>15</v>
      </c>
      <c r="J14" s="4">
        <v>36.5</v>
      </c>
      <c r="L14" s="1" t="s">
        <v>15</v>
      </c>
      <c r="M14" s="4">
        <v>6.8</v>
      </c>
    </row>
    <row r="15" spans="1:13" x14ac:dyDescent="0.25">
      <c r="E15" s="1" t="s">
        <v>0</v>
      </c>
      <c r="F15" s="2">
        <v>156</v>
      </c>
      <c r="I15" s="1" t="s">
        <v>0</v>
      </c>
      <c r="J15" s="4">
        <v>35.339743589743591</v>
      </c>
      <c r="L15" s="1" t="s">
        <v>0</v>
      </c>
      <c r="M15" s="4">
        <v>5.1956521739130439</v>
      </c>
    </row>
    <row r="19" spans="1:4" x14ac:dyDescent="0.25">
      <c r="B19" s="6" t="s">
        <v>21</v>
      </c>
      <c r="C19" t="s">
        <v>22</v>
      </c>
    </row>
    <row r="20" spans="1:4" x14ac:dyDescent="0.25">
      <c r="A20" s="1" t="s">
        <v>19</v>
      </c>
      <c r="B20" s="6">
        <v>88</v>
      </c>
      <c r="C20" s="3">
        <v>0.5641025641025641</v>
      </c>
    </row>
    <row r="21" spans="1:4" x14ac:dyDescent="0.25">
      <c r="A21" s="1" t="s">
        <v>20</v>
      </c>
      <c r="B21" s="6">
        <v>68</v>
      </c>
      <c r="C21" s="3">
        <v>0.4358974358974359</v>
      </c>
    </row>
    <row r="22" spans="1:4" x14ac:dyDescent="0.25">
      <c r="A22" s="1" t="s">
        <v>0</v>
      </c>
      <c r="B22" s="6">
        <v>156</v>
      </c>
      <c r="C22" s="3">
        <v>1</v>
      </c>
    </row>
    <row r="26" spans="1:4" x14ac:dyDescent="0.25">
      <c r="A26" s="11" t="s">
        <v>23</v>
      </c>
      <c r="B26" s="11" t="s">
        <v>24</v>
      </c>
      <c r="C26" s="7" t="s">
        <v>25</v>
      </c>
      <c r="D26" s="7"/>
    </row>
    <row r="27" spans="1:4" x14ac:dyDescent="0.25">
      <c r="A27" s="8" t="str">
        <f>A21</f>
        <v>Not Admitted</v>
      </c>
      <c r="B27" s="9">
        <f>B21</f>
        <v>68</v>
      </c>
      <c r="C27" s="10">
        <f>C21</f>
        <v>0.4358974358974359</v>
      </c>
      <c r="D27" s="8"/>
    </row>
    <row r="28" spans="1:4" x14ac:dyDescent="0.25">
      <c r="A28" s="8" t="str">
        <f>A20</f>
        <v>Admitted</v>
      </c>
      <c r="B28" s="9">
        <f>B20</f>
        <v>88</v>
      </c>
      <c r="C28" s="10">
        <f>C20</f>
        <v>0.5641025641025641</v>
      </c>
      <c r="D28" s="8"/>
    </row>
    <row r="32" spans="1:4" x14ac:dyDescent="0.25">
      <c r="B32" t="s">
        <v>34</v>
      </c>
    </row>
    <row r="33" spans="1:3" x14ac:dyDescent="0.25">
      <c r="A33" s="1" t="s">
        <v>26</v>
      </c>
      <c r="B33" s="6">
        <v>12</v>
      </c>
      <c r="C33" s="6"/>
    </row>
    <row r="34" spans="1:3" x14ac:dyDescent="0.25">
      <c r="A34" s="1" t="s">
        <v>27</v>
      </c>
      <c r="B34" s="6">
        <v>18</v>
      </c>
      <c r="C34" s="6"/>
    </row>
    <row r="35" spans="1:3" x14ac:dyDescent="0.25">
      <c r="A35" s="1" t="s">
        <v>28</v>
      </c>
      <c r="B35" s="6">
        <v>26</v>
      </c>
      <c r="C35" s="6"/>
    </row>
    <row r="36" spans="1:3" x14ac:dyDescent="0.25">
      <c r="A36" s="1" t="s">
        <v>29</v>
      </c>
      <c r="B36" s="6">
        <v>25</v>
      </c>
      <c r="C36" s="6"/>
    </row>
    <row r="37" spans="1:3" x14ac:dyDescent="0.25">
      <c r="A37" s="1" t="s">
        <v>30</v>
      </c>
      <c r="B37" s="6">
        <v>16</v>
      </c>
      <c r="C37" s="6"/>
    </row>
    <row r="38" spans="1:3" x14ac:dyDescent="0.25">
      <c r="A38" s="1" t="s">
        <v>31</v>
      </c>
      <c r="B38" s="6">
        <v>15</v>
      </c>
      <c r="C38" s="6"/>
    </row>
    <row r="39" spans="1:3" x14ac:dyDescent="0.25">
      <c r="A39" s="1" t="s">
        <v>32</v>
      </c>
      <c r="B39" s="6">
        <v>23</v>
      </c>
      <c r="C39" s="6"/>
    </row>
    <row r="40" spans="1:3" x14ac:dyDescent="0.25">
      <c r="A40" s="1" t="s">
        <v>33</v>
      </c>
      <c r="B40" s="6">
        <v>21</v>
      </c>
      <c r="C40" s="6"/>
    </row>
    <row r="41" spans="1:3" x14ac:dyDescent="0.25">
      <c r="A41" s="1" t="s">
        <v>0</v>
      </c>
      <c r="B41" s="6">
        <v>156</v>
      </c>
      <c r="C41" s="6"/>
    </row>
    <row r="45" spans="1:3" x14ac:dyDescent="0.25">
      <c r="B45" t="s">
        <v>37</v>
      </c>
    </row>
    <row r="46" spans="1:3" x14ac:dyDescent="0.25">
      <c r="A46" s="1" t="s">
        <v>35</v>
      </c>
      <c r="B46" s="6">
        <v>92</v>
      </c>
    </row>
    <row r="47" spans="1:3" x14ac:dyDescent="0.25">
      <c r="A47" s="1" t="s">
        <v>36</v>
      </c>
      <c r="B47" s="6">
        <v>64</v>
      </c>
    </row>
    <row r="48" spans="1:3" x14ac:dyDescent="0.25">
      <c r="A48" s="1" t="s">
        <v>0</v>
      </c>
      <c r="B48" s="6">
        <v>156</v>
      </c>
    </row>
    <row r="49" spans="1:3" x14ac:dyDescent="0.25">
      <c r="C49" s="6"/>
    </row>
    <row r="50" spans="1:3" x14ac:dyDescent="0.25">
      <c r="C50" s="6"/>
    </row>
    <row r="51" spans="1:3" x14ac:dyDescent="0.25">
      <c r="B51" t="s">
        <v>38</v>
      </c>
    </row>
    <row r="52" spans="1:3" x14ac:dyDescent="0.25">
      <c r="A52" s="1" t="s">
        <v>39</v>
      </c>
      <c r="B52" s="6">
        <v>74</v>
      </c>
    </row>
    <row r="53" spans="1:3" x14ac:dyDescent="0.25">
      <c r="A53" s="1" t="s">
        <v>40</v>
      </c>
      <c r="B53" s="6">
        <v>82</v>
      </c>
    </row>
    <row r="54" spans="1:3" x14ac:dyDescent="0.25">
      <c r="A54" s="1" t="s">
        <v>0</v>
      </c>
      <c r="B54" s="6">
        <v>156</v>
      </c>
    </row>
    <row r="57" spans="1:3" x14ac:dyDescent="0.25">
      <c r="B57" t="s">
        <v>41</v>
      </c>
    </row>
    <row r="58" spans="1:3" x14ac:dyDescent="0.25">
      <c r="A58" s="1" t="s">
        <v>48</v>
      </c>
      <c r="B58" s="6">
        <v>1</v>
      </c>
    </row>
    <row r="59" spans="1:3" x14ac:dyDescent="0.25">
      <c r="A59" s="1" t="s">
        <v>42</v>
      </c>
      <c r="B59" s="6">
        <v>4</v>
      </c>
    </row>
    <row r="60" spans="1:3" x14ac:dyDescent="0.25">
      <c r="A60" s="1" t="s">
        <v>43</v>
      </c>
      <c r="B60" s="6">
        <v>4</v>
      </c>
    </row>
    <row r="61" spans="1:3" x14ac:dyDescent="0.25">
      <c r="A61" s="1" t="s">
        <v>47</v>
      </c>
      <c r="B61" s="6">
        <v>5</v>
      </c>
    </row>
    <row r="62" spans="1:3" x14ac:dyDescent="0.25">
      <c r="A62" s="1" t="s">
        <v>46</v>
      </c>
      <c r="B62" s="6">
        <v>25</v>
      </c>
    </row>
    <row r="63" spans="1:3" x14ac:dyDescent="0.25">
      <c r="A63" s="1" t="s">
        <v>44</v>
      </c>
      <c r="B63" s="6">
        <v>31</v>
      </c>
    </row>
    <row r="64" spans="1:3" x14ac:dyDescent="0.25">
      <c r="A64" s="1" t="s">
        <v>45</v>
      </c>
      <c r="B64" s="6">
        <v>86</v>
      </c>
    </row>
    <row r="65" spans="1:2" x14ac:dyDescent="0.25">
      <c r="A65" s="1" t="s">
        <v>0</v>
      </c>
      <c r="B65" s="6">
        <v>156</v>
      </c>
    </row>
    <row r="69" spans="1:2" x14ac:dyDescent="0.25">
      <c r="A69" s="1" t="s">
        <v>5</v>
      </c>
    </row>
    <row r="70" spans="1:2" x14ac:dyDescent="0.25">
      <c r="A70" s="1" t="s">
        <v>0</v>
      </c>
    </row>
  </sheetData>
  <phoneticPr fontId="3" type="noConversion"/>
  <pageMargins left="0.7" right="0.7" top="0.75" bottom="0.75" header="0.3" footer="0.3"/>
  <pageSetup orientation="portrait" r:id="rId13"/>
  <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4B9F4-6722-4C8A-A12F-F5494A87646D}">
  <dimension ref="A1"/>
  <sheetViews>
    <sheetView workbookViewId="0"/>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CD202-9CF2-4DA7-BB61-2208C108A984}">
  <dimension ref="A1"/>
  <sheetViews>
    <sheetView workbookViewId="0"/>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B1B75-6D0B-4C7E-8A56-E6507C361259}">
  <dimension ref="A1"/>
  <sheetViews>
    <sheetView tabSelected="1" workbookViewId="0">
      <selection activeCell="R29" sqref="R29"/>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FB45164-9809-4ED7-912F-D015A2960FF2}">
  <ds:schemaRefs/>
</ds:datastoreItem>
</file>

<file path=customXml/itemProps2.xml><?xml version="1.0" encoding="utf-8"?>
<ds:datastoreItem xmlns:ds="http://schemas.openxmlformats.org/officeDocument/2006/customXml" ds:itemID="{0A24BB76-1CD6-49B6-8DC9-755A5E924DF2}">
  <ds:schemaRefs/>
</ds:datastoreItem>
</file>

<file path=customXml/itemProps3.xml><?xml version="1.0" encoding="utf-8"?>
<ds:datastoreItem xmlns:ds="http://schemas.openxmlformats.org/officeDocument/2006/customXml" ds:itemID="{952D834A-B944-4F8D-9E1B-0D0D1B6FD8E8}">
  <ds:schemaRefs/>
</ds:datastoreItem>
</file>

<file path=customXml/itemProps4.xml><?xml version="1.0" encoding="utf-8"?>
<ds:datastoreItem xmlns:ds="http://schemas.openxmlformats.org/officeDocument/2006/customXml" ds:itemID="{A274609C-5BA8-41B7-B7DA-BDE9ACB21668}">
  <ds:schemaRefs/>
</ds:datastoreItem>
</file>

<file path=customXml/itemProps5.xml><?xml version="1.0" encoding="utf-8"?>
<ds:datastoreItem xmlns:ds="http://schemas.openxmlformats.org/officeDocument/2006/customXml" ds:itemID="{B6CCFFD1-776E-4CA8-A1D4-9E549BFA742A}">
  <ds:schemaRefs/>
</ds:datastoreItem>
</file>

<file path=customXml/itemProps6.xml><?xml version="1.0" encoding="utf-8"?>
<ds:datastoreItem xmlns:ds="http://schemas.openxmlformats.org/officeDocument/2006/customXml" ds:itemID="{9DF67D93-A285-4C26-9016-517E626EDFEB}">
  <ds:schemaRefs/>
</ds:datastoreItem>
</file>

<file path=customXml/itemProps7.xml><?xml version="1.0" encoding="utf-8"?>
<ds:datastoreItem xmlns:ds="http://schemas.openxmlformats.org/officeDocument/2006/customXml" ds:itemID="{E8A7ABB0-AA5E-42D8-AC76-130D05946C53}">
  <ds:schemaRefs/>
</ds:datastoreItem>
</file>

<file path=customXml/itemProps8.xml><?xml version="1.0" encoding="utf-8"?>
<ds:datastoreItem xmlns:ds="http://schemas.openxmlformats.org/officeDocument/2006/customXml" ds:itemID="{975E371B-F3E0-430F-848C-4FDC273C9807}">
  <ds:schemaRefs/>
</ds:datastoreItem>
</file>

<file path=customXml/itemProps9.xml><?xml version="1.0" encoding="utf-8"?>
<ds:datastoreItem xmlns:ds="http://schemas.openxmlformats.org/officeDocument/2006/customXml" ds:itemID="{A9B03F6F-3B2C-4666-A0A2-957968599753}">
  <ds:schemaRefs/>
</ds:datastoreItem>
</file>

<file path=customXml/itemProps10.xml><?xml version="1.0" encoding="utf-8"?>
<ds:datastoreItem xmlns:ds="http://schemas.openxmlformats.org/officeDocument/2006/customXml" ds:itemID="{DE1F1D23-0434-4A86-9A9F-A391D1F809DF}">
  <ds:schemaRefs/>
</ds:datastoreItem>
</file>

<file path=customXml/itemProps11.xml><?xml version="1.0" encoding="utf-8"?>
<ds:datastoreItem xmlns:ds="http://schemas.openxmlformats.org/officeDocument/2006/customXml" ds:itemID="{030D7B7F-9BA7-4C50-AFCF-D76024648139}">
  <ds:schemaRefs/>
</ds:datastoreItem>
</file>

<file path=customXml/itemProps12.xml><?xml version="1.0" encoding="utf-8"?>
<ds:datastoreItem xmlns:ds="http://schemas.openxmlformats.org/officeDocument/2006/customXml" ds:itemID="{11C9161F-DC6E-4786-9CE5-2724A536BB55}">
  <ds:schemaRefs/>
</ds:datastoreItem>
</file>

<file path=customXml/itemProps13.xml><?xml version="1.0" encoding="utf-8"?>
<ds:datastoreItem xmlns:ds="http://schemas.openxmlformats.org/officeDocument/2006/customXml" ds:itemID="{BCED14AA-4A12-4260-BF29-781ADDCA10F4}">
  <ds:schemaRefs/>
</ds:datastoreItem>
</file>

<file path=customXml/itemProps14.xml><?xml version="1.0" encoding="utf-8"?>
<ds:datastoreItem xmlns:ds="http://schemas.openxmlformats.org/officeDocument/2006/customXml" ds:itemID="{FB219094-D1BC-49F6-8DF0-4AB4D5DAFABE}">
  <ds:schemaRefs/>
</ds:datastoreItem>
</file>

<file path=customXml/itemProps15.xml><?xml version="1.0" encoding="utf-8"?>
<ds:datastoreItem xmlns:ds="http://schemas.openxmlformats.org/officeDocument/2006/customXml" ds:itemID="{476A9D88-03E1-4895-B85A-BE1D9A75ED20}">
  <ds:schemaRefs/>
</ds:datastoreItem>
</file>

<file path=customXml/itemProps16.xml><?xml version="1.0" encoding="utf-8"?>
<ds:datastoreItem xmlns:ds="http://schemas.openxmlformats.org/officeDocument/2006/customXml" ds:itemID="{8F6211C7-8DBB-4A11-AC98-17E30864C04C}">
  <ds:schemaRefs>
    <ds:schemaRef ds:uri="http://schemas.microsoft.com/DataMashup"/>
  </ds:schemaRefs>
</ds:datastoreItem>
</file>

<file path=customXml/itemProps17.xml><?xml version="1.0" encoding="utf-8"?>
<ds:datastoreItem xmlns:ds="http://schemas.openxmlformats.org/officeDocument/2006/customXml" ds:itemID="{A8C58623-D2F0-4718-9AE4-586362FF878D}">
  <ds:schemaRefs/>
</ds:datastoreItem>
</file>

<file path=customXml/itemProps18.xml><?xml version="1.0" encoding="utf-8"?>
<ds:datastoreItem xmlns:ds="http://schemas.openxmlformats.org/officeDocument/2006/customXml" ds:itemID="{837AB77B-1E85-42E6-9905-45166789C45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 Report</vt:lpstr>
      <vt:lpstr>Daily ER No. of Patient</vt:lpstr>
      <vt:lpstr>Average wait time daily trend</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Shalu Singh</dc:creator>
  <cp:lastModifiedBy>𝓐𝓿𝓲𝓷𝓪𝓼𝓱 .</cp:lastModifiedBy>
  <dcterms:created xsi:type="dcterms:W3CDTF">2025-04-30T10:51:49Z</dcterms:created>
  <dcterms:modified xsi:type="dcterms:W3CDTF">2025-05-01T01:23:18Z</dcterms:modified>
</cp:coreProperties>
</file>