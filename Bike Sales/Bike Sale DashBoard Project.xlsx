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vina\Downloads\"/>
    </mc:Choice>
  </mc:AlternateContent>
  <xr:revisionPtr revIDLastSave="0" documentId="13_ncr:1_{BEF1B325-223A-431A-AFC8-AE37752632B2}" xr6:coauthVersionLast="47" xr6:coauthVersionMax="47" xr10:uidLastSave="{00000000-0000-0000-0000-000000000000}"/>
  <bookViews>
    <workbookView xWindow="-120" yWindow="-120" windowWidth="29040" windowHeight="15720" xr2:uid="{00000000-000D-0000-FFFF-FFFF00000000}"/>
  </bookViews>
  <sheets>
    <sheet name="Dashboard" sheetId="6" r:id="rId1"/>
    <sheet name="Pivot Table" sheetId="3" r:id="rId2"/>
    <sheet name="Working Sheet" sheetId="2" r:id="rId3"/>
    <sheet name="bike_buyers" sheetId="1" r:id="rId4"/>
  </sheets>
  <definedNames>
    <definedName name="_xlnm._FilterDatabase" localSheetId="3" hidden="1">bike_buyers!$A$1:$M$1001</definedName>
    <definedName name="_xlnm._FilterDatabase" localSheetId="2" hidden="1">'Working 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<sst xmlns="http://schemas.openxmlformats.org/spreadsheetml/2006/main" count="16480" uniqueCount="50">
  <si>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</si>
  <si>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</si>
  <si>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</si>
  <si>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</si>
  <si>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</si>
  <si>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</si>
  <si>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</si>
  <si>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</si>
  <si>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</si>
  <si>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</si>
  <si>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</si>
  <si>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</si>
  <si>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</si>
  <si>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</si>
  <si>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</si>
  <si>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</si>
  <si>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</si>
  <si>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</si>
  <si>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</si>
  <si>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</si>
  <si>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</si>
  <si>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</si>
  <si>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</si>
  <si>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</si>
  <si>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</si>
  <si>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</si>
  <si>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</si>
  <si>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</si>
  <si>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</si>
  <si>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</si>
  <si>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</si>
  <si>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</si>
  <si>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</si>
  <si>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</si>
  <si>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</si>
  <si>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</si>
  <si>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</si>
  <si>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</si>
  <si>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</si>
  <si>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</si>
  <si>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</si>
  <si>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</si>
  <si>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</si>
  <si>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</si>
  <si>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</si>
  <si>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</si>
  <si>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</si>
  <si>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 xml:space="preserve">Middle Age </t>
  </si>
  <si>
    <t xml:space="preserve">old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</si>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</sst>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10" xfId="0" pivotButton="1" applyBorder="1" applyAlignment="1">
      <alignment horizontal="center"/>
    </xf>
    <xf numFmtId="1" fontId="0" fillId="0" borderId="10" xfId="0" pivotButton="1" applyNumberFormat="1" applyBorder="1" applyAlignment="1">
      <alignment horizontal="center"/>
    </xf>
    <xf numFmtId="1" fontId="0" fillId="0" borderId="10" xfId="0" applyNumberFormat="1" applyBorder="1" applyAlignment="1">
      <alignment horizontal="center"/>
    </xf>
    <xf numFmtId="0" fontId="0" fillId="0" borderId="10" xfId="0" applyBorder="1" applyAlignment="1">
      <alignment horizontal="center"/>
    </xf>
    <xf numFmtId="0" fontId="0" fillId="0" borderId="10" xfId="0" pivotButton="1" applyBorder="1" applyAlignment="1">
      <alignment horizontal="center" vertical="center"/>
    </xf>
    <xf numFmtId="0" fontId="0" fillId="0" borderId="10" xfId="0" applyBorder="1" applyAlignment="1">
      <alignment horizontal="center" vertical="center"/>
    </xf>
    <xf numFmtId="0" fontId="0" fillId="0" borderId="10" xfId="0" applyNumberFormat="1" applyBorder="1" applyAlignment="1">
      <alignment horizontal="center" vertical="center"/>
    </xf>
    <xf numFmtId="0" fontId="0" fillId="0" borderId="10" xfId="0" applyNumberFormat="1" applyBorder="1"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a:t>
            </a:r>
            <a:r>
              <a:rPr lang="en-US" b="1" baseline="0"/>
              <a:t> Purchase</a:t>
            </a:r>
            <a:endParaRPr lang="en-US" b="1"/>
          </a:p>
        </c:rich>
      </c:tx>
      <c:layout>
        <c:manualLayout>
          <c:xMode val="edge"/>
          <c:yMode val="edge"/>
          <c:x val="0.22635483870967743"/>
          <c:y val="0.135407254421066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38823.529411764706</c:v>
                </c:pt>
                <c:pt idx="1">
                  <c:v>40000</c:v>
                </c:pt>
              </c:numCache>
            </c:numRef>
          </c:val>
          <c:extLst>
            <c:ext xmlns:c16="http://schemas.microsoft.com/office/drawing/2014/chart" uri="{C3380CC4-5D6E-409C-BE32-E72D297353CC}">
              <c16:uniqueId val="{00000000-EA1C-4C88-A7F4-C09F66BE557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40000</c:v>
                </c:pt>
                <c:pt idx="1">
                  <c:v>35294.117647058825</c:v>
                </c:pt>
              </c:numCache>
            </c:numRef>
          </c:val>
          <c:extLst>
            <c:ext xmlns:c16="http://schemas.microsoft.com/office/drawing/2014/chart" uri="{C3380CC4-5D6E-409C-BE32-E72D297353CC}">
              <c16:uniqueId val="{00000001-EA1C-4C88-A7F4-C09F66BE557C}"/>
            </c:ext>
          </c:extLst>
        </c:ser>
        <c:dLbls>
          <c:showLegendKey val="0"/>
          <c:showVal val="0"/>
          <c:showCatName val="0"/>
          <c:showSerName val="0"/>
          <c:showPercent val="0"/>
          <c:showBubbleSize val="0"/>
        </c:dLbls>
        <c:gapWidth val="219"/>
        <c:overlap val="-27"/>
        <c:axId val="833262576"/>
        <c:axId val="903403472"/>
      </c:barChart>
      <c:catAx>
        <c:axId val="833262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403472"/>
        <c:crosses val="autoZero"/>
        <c:auto val="1"/>
        <c:lblAlgn val="ctr"/>
        <c:lblOffset val="100"/>
        <c:noMultiLvlLbl val="0"/>
      </c:catAx>
      <c:valAx>
        <c:axId val="90340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62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774193548387093"/>
          <c:y val="0.40112086399036179"/>
          <c:w val="0.23225806451612904"/>
          <c:h val="0.263823845789768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Table'!$A$34:$A$36</c:f>
              <c:strCache>
                <c:ptCount val="2"/>
                <c:pt idx="0">
                  <c:v>Middle Age </c:v>
                </c:pt>
                <c:pt idx="1">
                  <c:v>old </c:v>
                </c:pt>
              </c:strCache>
            </c:strRef>
          </c:cat>
          <c:val>
            <c:numRef>
              <c:f>'Pivot Table'!$B$34:$B$36</c:f>
              <c:numCache>
                <c:formatCode>General</c:formatCode>
                <c:ptCount val="2"/>
                <c:pt idx="0">
                  <c:v>14</c:v>
                </c:pt>
                <c:pt idx="1">
                  <c:v>11</c:v>
                </c:pt>
              </c:numCache>
            </c:numRef>
          </c:val>
          <c:smooth val="0"/>
          <c:extLst>
            <c:ext xmlns:c16="http://schemas.microsoft.com/office/drawing/2014/chart" uri="{C3380CC4-5D6E-409C-BE32-E72D297353CC}">
              <c16:uniqueId val="{00000000-AA5C-4031-A443-B4EF7AB629E7}"/>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Table'!$A$34:$A$36</c:f>
              <c:strCache>
                <c:ptCount val="2"/>
                <c:pt idx="0">
                  <c:v>Middle Age </c:v>
                </c:pt>
                <c:pt idx="1">
                  <c:v>old </c:v>
                </c:pt>
              </c:strCache>
            </c:strRef>
          </c:cat>
          <c:val>
            <c:numRef>
              <c:f>'Pivot Table'!$C$34:$C$36</c:f>
              <c:numCache>
                <c:formatCode>General</c:formatCode>
                <c:ptCount val="2"/>
                <c:pt idx="0">
                  <c:v>32</c:v>
                </c:pt>
                <c:pt idx="1">
                  <c:v>3</c:v>
                </c:pt>
              </c:numCache>
            </c:numRef>
          </c:val>
          <c:smooth val="0"/>
          <c:extLst>
            <c:ext xmlns:c16="http://schemas.microsoft.com/office/drawing/2014/chart" uri="{C3380CC4-5D6E-409C-BE32-E72D297353CC}">
              <c16:uniqueId val="{00000002-BBBF-48D0-B705-F29C020D0E23}"/>
            </c:ext>
          </c:extLst>
        </c:ser>
        <c:dLbls>
          <c:showLegendKey val="0"/>
          <c:showVal val="0"/>
          <c:showCatName val="0"/>
          <c:showSerName val="0"/>
          <c:showPercent val="0"/>
          <c:showBubbleSize val="0"/>
        </c:dLbls>
        <c:marker val="1"/>
        <c:smooth val="0"/>
        <c:axId val="829664048"/>
        <c:axId val="829664464"/>
      </c:lineChart>
      <c:catAx>
        <c:axId val="82966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64464"/>
        <c:crosses val="autoZero"/>
        <c:auto val="1"/>
        <c:lblAlgn val="ctr"/>
        <c:lblOffset val="100"/>
        <c:noMultiLvlLbl val="0"/>
      </c:catAx>
      <c:valAx>
        <c:axId val="82966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6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Table'!$A$17:$A$21</c:f>
              <c:strCache>
                <c:ptCount val="4"/>
                <c:pt idx="0">
                  <c:v>0-1 Miles</c:v>
                </c:pt>
                <c:pt idx="1">
                  <c:v>1-2 Miles</c:v>
                </c:pt>
                <c:pt idx="2">
                  <c:v>2-5 Miles</c:v>
                </c:pt>
                <c:pt idx="3">
                  <c:v>More Than 10 Miles</c:v>
                </c:pt>
              </c:strCache>
            </c:strRef>
          </c:cat>
          <c:val>
            <c:numRef>
              <c:f>'Pivot Table'!$B$17:$B$21</c:f>
              <c:numCache>
                <c:formatCode>General</c:formatCode>
                <c:ptCount val="4"/>
                <c:pt idx="0">
                  <c:v>20</c:v>
                </c:pt>
                <c:pt idx="2">
                  <c:v>4</c:v>
                </c:pt>
                <c:pt idx="3">
                  <c:v>1</c:v>
                </c:pt>
              </c:numCache>
            </c:numRef>
          </c:val>
          <c:smooth val="0"/>
          <c:extLst>
            <c:ext xmlns:c16="http://schemas.microsoft.com/office/drawing/2014/chart" uri="{C3380CC4-5D6E-409C-BE32-E72D297353CC}">
              <c16:uniqueId val="{00000000-36EB-4806-9370-D95F0F888915}"/>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Table'!$A$17:$A$21</c:f>
              <c:strCache>
                <c:ptCount val="4"/>
                <c:pt idx="0">
                  <c:v>0-1 Miles</c:v>
                </c:pt>
                <c:pt idx="1">
                  <c:v>1-2 Miles</c:v>
                </c:pt>
                <c:pt idx="2">
                  <c:v>2-5 Miles</c:v>
                </c:pt>
                <c:pt idx="3">
                  <c:v>More Than 10 Miles</c:v>
                </c:pt>
              </c:strCache>
            </c:strRef>
          </c:cat>
          <c:val>
            <c:numRef>
              <c:f>'Pivot Table'!$C$17:$C$21</c:f>
              <c:numCache>
                <c:formatCode>General</c:formatCode>
                <c:ptCount val="4"/>
                <c:pt idx="0">
                  <c:v>31</c:v>
                </c:pt>
                <c:pt idx="1">
                  <c:v>3</c:v>
                </c:pt>
                <c:pt idx="3">
                  <c:v>1</c:v>
                </c:pt>
              </c:numCache>
            </c:numRef>
          </c:val>
          <c:smooth val="0"/>
          <c:extLst>
            <c:ext xmlns:c16="http://schemas.microsoft.com/office/drawing/2014/chart" uri="{C3380CC4-5D6E-409C-BE32-E72D297353CC}">
              <c16:uniqueId val="{00000001-36EB-4806-9370-D95F0F888915}"/>
            </c:ext>
          </c:extLst>
        </c:ser>
        <c:dLbls>
          <c:showLegendKey val="0"/>
          <c:showVal val="0"/>
          <c:showCatName val="0"/>
          <c:showSerName val="0"/>
          <c:showPercent val="0"/>
          <c:showBubbleSize val="0"/>
        </c:dLbls>
        <c:marker val="1"/>
        <c:smooth val="0"/>
        <c:axId val="907827136"/>
        <c:axId val="907827968"/>
      </c:lineChart>
      <c:catAx>
        <c:axId val="90782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27968"/>
        <c:crosses val="autoZero"/>
        <c:auto val="1"/>
        <c:lblAlgn val="ctr"/>
        <c:lblOffset val="100"/>
        <c:noMultiLvlLbl val="0"/>
      </c:catAx>
      <c:valAx>
        <c:axId val="90782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27136"/>
        <c:crosses val="autoZero"/>
        <c:crossBetween val="between"/>
      </c:valAx>
      <c:spPr>
        <a:noFill/>
        <a:ln>
          <a:noFill/>
        </a:ln>
        <a:effectLst/>
      </c:spPr>
    </c:plotArea>
    <c:legend>
      <c:legendPos val="r"/>
      <c:layout>
        <c:manualLayout>
          <c:xMode val="edge"/>
          <c:yMode val="edge"/>
          <c:x val="0.8"/>
          <c:y val="0.47178295421405658"/>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a:t>
            </a:r>
            <a:r>
              <a:rPr lang="en-US" b="1" baseline="0"/>
              <a:t>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38823.529411764706</c:v>
                </c:pt>
                <c:pt idx="1">
                  <c:v>40000</c:v>
                </c:pt>
              </c:numCache>
            </c:numRef>
          </c:val>
          <c:extLst>
            <c:ext xmlns:c16="http://schemas.microsoft.com/office/drawing/2014/chart" uri="{C3380CC4-5D6E-409C-BE32-E72D297353CC}">
              <c16:uniqueId val="{00000000-08FD-41CC-AC86-DB41C8AF406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40000</c:v>
                </c:pt>
                <c:pt idx="1">
                  <c:v>35294.117647058825</c:v>
                </c:pt>
              </c:numCache>
            </c:numRef>
          </c:val>
          <c:extLst>
            <c:ext xmlns:c16="http://schemas.microsoft.com/office/drawing/2014/chart" uri="{C3380CC4-5D6E-409C-BE32-E72D297353CC}">
              <c16:uniqueId val="{00000001-08FD-41CC-AC86-DB41C8AF406A}"/>
            </c:ext>
          </c:extLst>
        </c:ser>
        <c:dLbls>
          <c:showLegendKey val="0"/>
          <c:showVal val="0"/>
          <c:showCatName val="0"/>
          <c:showSerName val="0"/>
          <c:showPercent val="0"/>
          <c:showBubbleSize val="0"/>
        </c:dLbls>
        <c:gapWidth val="219"/>
        <c:overlap val="-27"/>
        <c:axId val="833262576"/>
        <c:axId val="903403472"/>
      </c:barChart>
      <c:catAx>
        <c:axId val="833262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403472"/>
        <c:crosses val="autoZero"/>
        <c:auto val="1"/>
        <c:lblAlgn val="ctr"/>
        <c:lblOffset val="100"/>
        <c:noMultiLvlLbl val="0"/>
      </c:catAx>
      <c:valAx>
        <c:axId val="90340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62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t>
            </a:r>
            <a:r>
              <a:rPr lang="en-US" b="1"/>
              <a:t>Commute</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Table'!$A$17:$A$21</c:f>
              <c:strCache>
                <c:ptCount val="4"/>
                <c:pt idx="0">
                  <c:v>0-1 Miles</c:v>
                </c:pt>
                <c:pt idx="1">
                  <c:v>1-2 Miles</c:v>
                </c:pt>
                <c:pt idx="2">
                  <c:v>2-5 Miles</c:v>
                </c:pt>
                <c:pt idx="3">
                  <c:v>More Than 10 Miles</c:v>
                </c:pt>
              </c:strCache>
            </c:strRef>
          </c:cat>
          <c:val>
            <c:numRef>
              <c:f>'Pivot Table'!$B$17:$B$21</c:f>
              <c:numCache>
                <c:formatCode>General</c:formatCode>
                <c:ptCount val="4"/>
                <c:pt idx="0">
                  <c:v>20</c:v>
                </c:pt>
                <c:pt idx="2">
                  <c:v>4</c:v>
                </c:pt>
                <c:pt idx="3">
                  <c:v>1</c:v>
                </c:pt>
              </c:numCache>
            </c:numRef>
          </c:val>
          <c:smooth val="0"/>
          <c:extLst>
            <c:ext xmlns:c16="http://schemas.microsoft.com/office/drawing/2014/chart" uri="{C3380CC4-5D6E-409C-BE32-E72D297353CC}">
              <c16:uniqueId val="{00000000-88CD-4521-874E-0699FCA604BC}"/>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Table'!$A$17:$A$21</c:f>
              <c:strCache>
                <c:ptCount val="4"/>
                <c:pt idx="0">
                  <c:v>0-1 Miles</c:v>
                </c:pt>
                <c:pt idx="1">
                  <c:v>1-2 Miles</c:v>
                </c:pt>
                <c:pt idx="2">
                  <c:v>2-5 Miles</c:v>
                </c:pt>
                <c:pt idx="3">
                  <c:v>More Than 10 Miles</c:v>
                </c:pt>
              </c:strCache>
            </c:strRef>
          </c:cat>
          <c:val>
            <c:numRef>
              <c:f>'Pivot Table'!$C$17:$C$21</c:f>
              <c:numCache>
                <c:formatCode>General</c:formatCode>
                <c:ptCount val="4"/>
                <c:pt idx="0">
                  <c:v>31</c:v>
                </c:pt>
                <c:pt idx="1">
                  <c:v>3</c:v>
                </c:pt>
                <c:pt idx="3">
                  <c:v>1</c:v>
                </c:pt>
              </c:numCache>
            </c:numRef>
          </c:val>
          <c:smooth val="0"/>
          <c:extLst>
            <c:ext xmlns:c16="http://schemas.microsoft.com/office/drawing/2014/chart" uri="{C3380CC4-5D6E-409C-BE32-E72D297353CC}">
              <c16:uniqueId val="{00000001-88CD-4521-874E-0699FCA604BC}"/>
            </c:ext>
          </c:extLst>
        </c:ser>
        <c:dLbls>
          <c:showLegendKey val="0"/>
          <c:showVal val="0"/>
          <c:showCatName val="0"/>
          <c:showSerName val="0"/>
          <c:showPercent val="0"/>
          <c:showBubbleSize val="0"/>
        </c:dLbls>
        <c:marker val="1"/>
        <c:smooth val="0"/>
        <c:axId val="907827136"/>
        <c:axId val="907827968"/>
      </c:lineChart>
      <c:catAx>
        <c:axId val="90782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27968"/>
        <c:crosses val="autoZero"/>
        <c:auto val="1"/>
        <c:lblAlgn val="ctr"/>
        <c:lblOffset val="100"/>
        <c:noMultiLvlLbl val="0"/>
      </c:catAx>
      <c:valAx>
        <c:axId val="90782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2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Table'!$A$34:$A$36</c:f>
              <c:strCache>
                <c:ptCount val="2"/>
                <c:pt idx="0">
                  <c:v>Middle Age </c:v>
                </c:pt>
                <c:pt idx="1">
                  <c:v>old </c:v>
                </c:pt>
              </c:strCache>
            </c:strRef>
          </c:cat>
          <c:val>
            <c:numRef>
              <c:f>'Pivot Table'!$B$34:$B$36</c:f>
              <c:numCache>
                <c:formatCode>General</c:formatCode>
                <c:ptCount val="2"/>
                <c:pt idx="0">
                  <c:v>14</c:v>
                </c:pt>
                <c:pt idx="1">
                  <c:v>11</c:v>
                </c:pt>
              </c:numCache>
            </c:numRef>
          </c:val>
          <c:smooth val="0"/>
          <c:extLst>
            <c:ext xmlns:c16="http://schemas.microsoft.com/office/drawing/2014/chart" uri="{C3380CC4-5D6E-409C-BE32-E72D297353CC}">
              <c16:uniqueId val="{00000000-D1EB-485D-B9B5-1E19B81B062D}"/>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Table'!$A$34:$A$36</c:f>
              <c:strCache>
                <c:ptCount val="2"/>
                <c:pt idx="0">
                  <c:v>Middle Age </c:v>
                </c:pt>
                <c:pt idx="1">
                  <c:v>old </c:v>
                </c:pt>
              </c:strCache>
            </c:strRef>
          </c:cat>
          <c:val>
            <c:numRef>
              <c:f>'Pivot Table'!$C$34:$C$36</c:f>
              <c:numCache>
                <c:formatCode>General</c:formatCode>
                <c:ptCount val="2"/>
                <c:pt idx="0">
                  <c:v>32</c:v>
                </c:pt>
                <c:pt idx="1">
                  <c:v>3</c:v>
                </c:pt>
              </c:numCache>
            </c:numRef>
          </c:val>
          <c:smooth val="0"/>
          <c:extLst>
            <c:ext xmlns:c16="http://schemas.microsoft.com/office/drawing/2014/chart" uri="{C3380CC4-5D6E-409C-BE32-E72D297353CC}">
              <c16:uniqueId val="{00000002-C8D2-4B7B-AAAF-71D5200559C7}"/>
            </c:ext>
          </c:extLst>
        </c:ser>
        <c:dLbls>
          <c:showLegendKey val="0"/>
          <c:showVal val="0"/>
          <c:showCatName val="0"/>
          <c:showSerName val="0"/>
          <c:showPercent val="0"/>
          <c:showBubbleSize val="0"/>
        </c:dLbls>
        <c:marker val="1"/>
        <c:smooth val="0"/>
        <c:axId val="829664048"/>
        <c:axId val="829664464"/>
      </c:lineChart>
      <c:catAx>
        <c:axId val="82966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64464"/>
        <c:crosses val="autoZero"/>
        <c:auto val="1"/>
        <c:lblAlgn val="ctr"/>
        <c:lblOffset val="100"/>
        <c:noMultiLvlLbl val="0"/>
      </c:catAx>
      <c:valAx>
        <c:axId val="82966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6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Table'!$A$52:$A$77</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Table'!$B$52:$B$77</c:f>
              <c:numCache>
                <c:formatCode>General</c:formatCode>
                <c:ptCount val="25"/>
                <c:pt idx="6">
                  <c:v>2</c:v>
                </c:pt>
                <c:pt idx="7">
                  <c:v>2</c:v>
                </c:pt>
                <c:pt idx="8">
                  <c:v>2</c:v>
                </c:pt>
                <c:pt idx="9">
                  <c:v>3</c:v>
                </c:pt>
                <c:pt idx="12">
                  <c:v>1</c:v>
                </c:pt>
                <c:pt idx="13">
                  <c:v>3</c:v>
                </c:pt>
                <c:pt idx="14">
                  <c:v>1</c:v>
                </c:pt>
                <c:pt idx="17">
                  <c:v>1</c:v>
                </c:pt>
                <c:pt idx="18">
                  <c:v>1</c:v>
                </c:pt>
                <c:pt idx="19">
                  <c:v>2</c:v>
                </c:pt>
                <c:pt idx="20">
                  <c:v>1</c:v>
                </c:pt>
                <c:pt idx="21">
                  <c:v>2</c:v>
                </c:pt>
                <c:pt idx="22">
                  <c:v>2</c:v>
                </c:pt>
                <c:pt idx="23">
                  <c:v>1</c:v>
                </c:pt>
                <c:pt idx="24">
                  <c:v>1</c:v>
                </c:pt>
              </c:numCache>
            </c:numRef>
          </c:val>
          <c:smooth val="0"/>
          <c:extLst>
            <c:ext xmlns:c16="http://schemas.microsoft.com/office/drawing/2014/chart" uri="{C3380CC4-5D6E-409C-BE32-E72D297353CC}">
              <c16:uniqueId val="{00000000-A819-413F-880D-4EA288F7D022}"/>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Table'!$A$52:$A$77</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'Pivot Table'!$C$52:$C$77</c:f>
              <c:numCache>
                <c:formatCode>General</c:formatCode>
                <c:ptCount val="25"/>
                <c:pt idx="0">
                  <c:v>3</c:v>
                </c:pt>
                <c:pt idx="1">
                  <c:v>2</c:v>
                </c:pt>
                <c:pt idx="2">
                  <c:v>2</c:v>
                </c:pt>
                <c:pt idx="3">
                  <c:v>1</c:v>
                </c:pt>
                <c:pt idx="4">
                  <c:v>2</c:v>
                </c:pt>
                <c:pt idx="5">
                  <c:v>6</c:v>
                </c:pt>
                <c:pt idx="6">
                  <c:v>1</c:v>
                </c:pt>
                <c:pt idx="7">
                  <c:v>2</c:v>
                </c:pt>
                <c:pt idx="8">
                  <c:v>1</c:v>
                </c:pt>
                <c:pt idx="9">
                  <c:v>2</c:v>
                </c:pt>
                <c:pt idx="10">
                  <c:v>5</c:v>
                </c:pt>
                <c:pt idx="11">
                  <c:v>1</c:v>
                </c:pt>
                <c:pt idx="13">
                  <c:v>2</c:v>
                </c:pt>
                <c:pt idx="15">
                  <c:v>1</c:v>
                </c:pt>
                <c:pt idx="16">
                  <c:v>1</c:v>
                </c:pt>
                <c:pt idx="20">
                  <c:v>1</c:v>
                </c:pt>
                <c:pt idx="21">
                  <c:v>1</c:v>
                </c:pt>
                <c:pt idx="22">
                  <c:v>1</c:v>
                </c:pt>
              </c:numCache>
            </c:numRef>
          </c:val>
          <c:smooth val="0"/>
          <c:extLst>
            <c:ext xmlns:c16="http://schemas.microsoft.com/office/drawing/2014/chart" uri="{C3380CC4-5D6E-409C-BE32-E72D297353CC}">
              <c16:uniqueId val="{00000001-A819-413F-880D-4EA288F7D022}"/>
            </c:ext>
          </c:extLst>
        </c:ser>
        <c:dLbls>
          <c:showLegendKey val="0"/>
          <c:showVal val="0"/>
          <c:showCatName val="0"/>
          <c:showSerName val="0"/>
          <c:showPercent val="0"/>
          <c:showBubbleSize val="0"/>
        </c:dLbls>
        <c:marker val="1"/>
        <c:smooth val="0"/>
        <c:axId val="833919952"/>
        <c:axId val="833920784"/>
      </c:lineChart>
      <c:catAx>
        <c:axId val="833919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20784"/>
        <c:crosses val="autoZero"/>
        <c:auto val="1"/>
        <c:lblAlgn val="ctr"/>
        <c:lblOffset val="100"/>
        <c:noMultiLvlLbl val="0"/>
      </c:catAx>
      <c:valAx>
        <c:axId val="83392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1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6351</xdr:colOff>
      <xdr:row>5</xdr:row>
      <xdr:rowOff>21713</xdr:rowOff>
    </xdr:from>
    <xdr:to>
      <xdr:col>9</xdr:col>
      <xdr:colOff>31446</xdr:colOff>
      <xdr:row>25</xdr:row>
      <xdr:rowOff>38508</xdr:rowOff>
    </xdr:to>
    <xdr:graphicFrame macro="">
      <xdr:nvGraphicFramePr>
        <xdr:cNvPr id="3" name="Chart 2">
          <a:extLst>
            <a:ext uri="{FF2B5EF4-FFF2-40B4-BE49-F238E27FC236}">
              <a16:creationId xmlns:a16="http://schemas.microsoft.com/office/drawing/2014/main" id="{169E61F6-7DB7-412A-9FDD-5589C3D32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34620</xdr:colOff>
      <xdr:row>5</xdr:row>
      <xdr:rowOff>22737</xdr:rowOff>
    </xdr:from>
    <xdr:to>
      <xdr:col>18</xdr:col>
      <xdr:colOff>75495</xdr:colOff>
      <xdr:row>25</xdr:row>
      <xdr:rowOff>19313</xdr:rowOff>
    </xdr:to>
    <xdr:graphicFrame macro="">
      <xdr:nvGraphicFramePr>
        <xdr:cNvPr id="4" name="Chart 3">
          <a:extLst>
            <a:ext uri="{FF2B5EF4-FFF2-40B4-BE49-F238E27FC236}">
              <a16:creationId xmlns:a16="http://schemas.microsoft.com/office/drawing/2014/main" id="{ABFA6D49-01A1-47D4-A54D-2865EFDF3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53975</xdr:rowOff>
    </xdr:from>
    <xdr:to>
      <xdr:col>18</xdr:col>
      <xdr:colOff>76815</xdr:colOff>
      <xdr:row>50</xdr:row>
      <xdr:rowOff>29804</xdr:rowOff>
    </xdr:to>
    <xdr:graphicFrame macro="">
      <xdr:nvGraphicFramePr>
        <xdr:cNvPr id="5" name="Chart 4">
          <a:extLst>
            <a:ext uri="{FF2B5EF4-FFF2-40B4-BE49-F238E27FC236}">
              <a16:creationId xmlns:a16="http://schemas.microsoft.com/office/drawing/2014/main" id="{EB61F24B-9B91-4000-8052-FFFBA5358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99041</xdr:colOff>
      <xdr:row>5</xdr:row>
      <xdr:rowOff>67188</xdr:rowOff>
    </xdr:from>
    <xdr:to>
      <xdr:col>25</xdr:col>
      <xdr:colOff>15364</xdr:colOff>
      <xdr:row>11</xdr:row>
      <xdr:rowOff>1</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30A8E480-B993-4F6A-9E5C-EB545EC415C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965590" y="939195"/>
              <a:ext cx="4142204" cy="1059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98016</xdr:colOff>
      <xdr:row>26</xdr:row>
      <xdr:rowOff>75688</xdr:rowOff>
    </xdr:from>
    <xdr:to>
      <xdr:col>25</xdr:col>
      <xdr:colOff>61453</xdr:colOff>
      <xdr:row>49</xdr:row>
      <xdr:rowOff>138266</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A42D1FAD-E0F4-4E87-9EE3-D043C47346C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964565" y="4891850"/>
              <a:ext cx="4189318" cy="4382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117065</xdr:colOff>
      <xdr:row>14</xdr:row>
      <xdr:rowOff>172167</xdr:rowOff>
    </xdr:from>
    <xdr:to>
      <xdr:col>25</xdr:col>
      <xdr:colOff>46089</xdr:colOff>
      <xdr:row>22</xdr:row>
      <xdr:rowOff>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7D5FD424-3E77-4571-A017-67595CA0EA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83614" y="2734526"/>
              <a:ext cx="4154905" cy="1330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22224</xdr:rowOff>
    </xdr:from>
    <xdr:to>
      <xdr:col>8</xdr:col>
      <xdr:colOff>962025</xdr:colOff>
      <xdr:row>13</xdr:row>
      <xdr:rowOff>76199</xdr:rowOff>
    </xdr:to>
    <xdr:graphicFrame macro="">
      <xdr:nvGraphicFramePr>
        <xdr:cNvPr id="2" name="Chart 1">
          <a:extLst>
            <a:ext uri="{FF2B5EF4-FFF2-40B4-BE49-F238E27FC236}">
              <a16:creationId xmlns:a16="http://schemas.microsoft.com/office/drawing/2014/main" id="{01E95D60-5621-4C8E-956D-564AA47F6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xdr:row>
      <xdr:rowOff>31750</xdr:rowOff>
    </xdr:from>
    <xdr:to>
      <xdr:col>11</xdr:col>
      <xdr:colOff>9525</xdr:colOff>
      <xdr:row>29</xdr:row>
      <xdr:rowOff>6350</xdr:rowOff>
    </xdr:to>
    <xdr:graphicFrame macro="">
      <xdr:nvGraphicFramePr>
        <xdr:cNvPr id="3" name="Chart 2">
          <a:extLst>
            <a:ext uri="{FF2B5EF4-FFF2-40B4-BE49-F238E27FC236}">
              <a16:creationId xmlns:a16="http://schemas.microsoft.com/office/drawing/2014/main" id="{A1F7E9FE-1302-4D1D-BD1A-8C28E1F4D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30</xdr:row>
      <xdr:rowOff>22225</xdr:rowOff>
    </xdr:from>
    <xdr:to>
      <xdr:col>10</xdr:col>
      <xdr:colOff>590550</xdr:colOff>
      <xdr:row>44</xdr:row>
      <xdr:rowOff>187325</xdr:rowOff>
    </xdr:to>
    <xdr:graphicFrame macro="">
      <xdr:nvGraphicFramePr>
        <xdr:cNvPr id="4" name="Chart 3">
          <a:extLst>
            <a:ext uri="{FF2B5EF4-FFF2-40B4-BE49-F238E27FC236}">
              <a16:creationId xmlns:a16="http://schemas.microsoft.com/office/drawing/2014/main" id="{2D4EF8DE-78EF-49BB-9D3F-FE304380F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49</xdr:row>
      <xdr:rowOff>12700</xdr:rowOff>
    </xdr:from>
    <xdr:to>
      <xdr:col>14</xdr:col>
      <xdr:colOff>34925</xdr:colOff>
      <xdr:row>64</xdr:row>
      <xdr:rowOff>6350</xdr:rowOff>
    </xdr:to>
    <xdr:graphicFrame macro="">
      <xdr:nvGraphicFramePr>
        <xdr:cNvPr id="5" name="Chart 4">
          <a:extLst>
            <a:ext uri="{FF2B5EF4-FFF2-40B4-BE49-F238E27FC236}">
              <a16:creationId xmlns:a16="http://schemas.microsoft.com/office/drawing/2014/main" id="{9A3CDCD1-0B22-451B-B064-41D1E72C7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u Singh" refreshedDate="45776.635321064816" createdVersion="7" refreshedVersion="7" minRefreshableVersion="3" recordCount="1026" xr:uid="{9EB1C46B-1FF6-4136-ABF5-F8011B862417}">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7">
        <s v="Middle Age "/>
        <s v="old "/>
        <s v="Adolescent "/>
        <s v="Adolescent" u="1"/>
        <s v="Middle Age" u="1"/>
        <s v="Adolexcent"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422948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3441DA-A19A-419B-B1D6-C483F05B856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5:D2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formats count="30">
    <format dxfId="974">
      <pivotArea type="all" dataOnly="0" outline="0" fieldPosition="0"/>
    </format>
    <format dxfId="973">
      <pivotArea outline="0" collapsedLevelsAreSubtotals="1" fieldPosition="0"/>
    </format>
    <format dxfId="972">
      <pivotArea type="origin" dataOnly="0" labelOnly="1" outline="0" fieldPosition="0"/>
    </format>
    <format dxfId="971">
      <pivotArea field="13" type="button" dataOnly="0" labelOnly="1" outline="0" axis="axisCol" fieldPosition="0"/>
    </format>
    <format dxfId="970">
      <pivotArea type="topRight" dataOnly="0" labelOnly="1" outline="0" fieldPosition="0"/>
    </format>
    <format dxfId="969">
      <pivotArea field="9" type="button" dataOnly="0" labelOnly="1" outline="0" axis="axisRow" fieldPosition="0"/>
    </format>
    <format dxfId="968">
      <pivotArea dataOnly="0" labelOnly="1" fieldPosition="0">
        <references count="1">
          <reference field="9" count="0"/>
        </references>
      </pivotArea>
    </format>
    <format dxfId="967">
      <pivotArea dataOnly="0" labelOnly="1" grandRow="1" outline="0" fieldPosition="0"/>
    </format>
    <format dxfId="966">
      <pivotArea dataOnly="0" labelOnly="1" fieldPosition="0">
        <references count="1">
          <reference field="13" count="0"/>
        </references>
      </pivotArea>
    </format>
    <format dxfId="965">
      <pivotArea dataOnly="0" labelOnly="1" grandCol="1" outline="0" fieldPosition="0"/>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13" type="button" dataOnly="0" labelOnly="1" outline="0" axis="axisCol" fieldPosition="0"/>
    </format>
    <format dxfId="950">
      <pivotArea type="topRight" dataOnly="0" labelOnly="1" outline="0" fieldPosition="0"/>
    </format>
    <format dxfId="949">
      <pivotArea field="9" type="button" dataOnly="0" labelOnly="1" outline="0" axis="axisRow" fieldPosition="0"/>
    </format>
    <format dxfId="948">
      <pivotArea dataOnly="0" labelOnly="1" fieldPosition="0">
        <references count="1">
          <reference field="9" count="0"/>
        </references>
      </pivotArea>
    </format>
    <format dxfId="947">
      <pivotArea dataOnly="0" labelOnly="1" grandRow="1" outline="0" fieldPosition="0"/>
    </format>
    <format dxfId="946">
      <pivotArea dataOnly="0" labelOnly="1" fieldPosition="0">
        <references count="1">
          <reference field="13" count="0"/>
        </references>
      </pivotArea>
    </format>
    <format dxfId="945">
      <pivotArea dataOnly="0" labelOnly="1" grandCol="1" outline="0" fieldPosition="0"/>
    </format>
    <format dxfId="923">
      <pivotArea type="all" dataOnly="0" outline="0" fieldPosition="0"/>
    </format>
    <format dxfId="922">
      <pivotArea outline="0" collapsedLevelsAreSubtotals="1" fieldPosition="0"/>
    </format>
    <format dxfId="921">
      <pivotArea type="origin" dataOnly="0" labelOnly="1" outline="0" fieldPosition="0"/>
    </format>
    <format dxfId="920">
      <pivotArea field="13" type="button" dataOnly="0" labelOnly="1" outline="0" axis="axisCol" fieldPosition="0"/>
    </format>
    <format dxfId="919">
      <pivotArea type="topRight" dataOnly="0" labelOnly="1" outline="0" fieldPosition="0"/>
    </format>
    <format dxfId="918">
      <pivotArea field="9" type="button" dataOnly="0" labelOnly="1" outline="0" axis="axisRow" fieldPosition="0"/>
    </format>
    <format dxfId="917">
      <pivotArea dataOnly="0" labelOnly="1" fieldPosition="0">
        <references count="1">
          <reference field="9" count="0"/>
        </references>
      </pivotArea>
    </format>
    <format dxfId="916">
      <pivotArea dataOnly="0" labelOnly="1" grandRow="1" outline="0" fieldPosition="0"/>
    </format>
    <format dxfId="915">
      <pivotArea dataOnly="0" labelOnly="1" fieldPosition="0">
        <references count="1">
          <reference field="13" count="0"/>
        </references>
      </pivotArea>
    </format>
    <format dxfId="914">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32D4E-98CB-44B8-B51B-316BB4FEB23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5">
    <format dxfId="989">
      <pivotArea outline="0" collapsedLevelsAreSubtotals="1" fieldPosition="0"/>
    </format>
    <format dxfId="988">
      <pivotArea field="13" type="button" dataOnly="0" labelOnly="1" outline="0" axis="axisCol" fieldPosition="0"/>
    </format>
    <format dxfId="987">
      <pivotArea type="topRight" dataOnly="0" labelOnly="1" outline="0" fieldPosition="0"/>
    </format>
    <format dxfId="986">
      <pivotArea dataOnly="0" labelOnly="1" fieldPosition="0">
        <references count="1">
          <reference field="13" count="0"/>
        </references>
      </pivotArea>
    </format>
    <format dxfId="985">
      <pivotArea dataOnly="0" labelOnly="1" grandCol="1" outline="0" fieldPosition="0"/>
    </format>
    <format dxfId="984">
      <pivotArea type="all" dataOnly="0" outline="0" fieldPosition="0"/>
    </format>
    <format dxfId="983">
      <pivotArea outline="0" collapsedLevelsAreSubtotals="1" fieldPosition="0"/>
    </format>
    <format dxfId="982">
      <pivotArea type="origin" dataOnly="0" labelOnly="1" outline="0" fieldPosition="0"/>
    </format>
    <format dxfId="981">
      <pivotArea field="13" type="button" dataOnly="0" labelOnly="1" outline="0" axis="axisCol" fieldPosition="0"/>
    </format>
    <format dxfId="980">
      <pivotArea type="topRight" dataOnly="0" labelOnly="1" outline="0" fieldPosition="0"/>
    </format>
    <format dxfId="979">
      <pivotArea field="2" type="button" dataOnly="0" labelOnly="1" outline="0" axis="axisRow" fieldPosition="0"/>
    </format>
    <format dxfId="978">
      <pivotArea dataOnly="0" labelOnly="1" fieldPosition="0">
        <references count="1">
          <reference field="2" count="0"/>
        </references>
      </pivotArea>
    </format>
    <format dxfId="977">
      <pivotArea dataOnly="0" labelOnly="1" grandRow="1" outline="0" fieldPosition="0"/>
    </format>
    <format dxfId="976">
      <pivotArea dataOnly="0" labelOnly="1" fieldPosition="0">
        <references count="1">
          <reference field="13" count="0"/>
        </references>
      </pivotArea>
    </format>
    <format dxfId="975">
      <pivotArea dataOnly="0" labelOnly="1" grandCol="1" outline="0" fieldPosition="0"/>
    </format>
    <format dxfId="933">
      <pivotArea type="all" dataOnly="0" outline="0" fieldPosition="0"/>
    </format>
    <format dxfId="932">
      <pivotArea outline="0" collapsedLevelsAreSubtotals="1" fieldPosition="0"/>
    </format>
    <format dxfId="931">
      <pivotArea type="origin" dataOnly="0" labelOnly="1" outline="0" fieldPosition="0"/>
    </format>
    <format dxfId="930">
      <pivotArea field="13" type="button" dataOnly="0" labelOnly="1" outline="0" axis="axisCol" fieldPosition="0"/>
    </format>
    <format dxfId="929">
      <pivotArea type="topRight" dataOnly="0" labelOnly="1" outline="0" fieldPosition="0"/>
    </format>
    <format dxfId="928">
      <pivotArea field="2" type="button" dataOnly="0" labelOnly="1" outline="0" axis="axisRow" fieldPosition="0"/>
    </format>
    <format dxfId="927">
      <pivotArea dataOnly="0" labelOnly="1" fieldPosition="0">
        <references count="1">
          <reference field="2" count="0"/>
        </references>
      </pivotArea>
    </format>
    <format dxfId="926">
      <pivotArea dataOnly="0" labelOnly="1" grandRow="1" outline="0" fieldPosition="0"/>
    </format>
    <format dxfId="925">
      <pivotArea dataOnly="0" labelOnly="1" fieldPosition="0">
        <references count="1">
          <reference field="13" count="0"/>
        </references>
      </pivotArea>
    </format>
    <format dxfId="924">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E35193-0700-4F9F-99E9-25C2E7EC76B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0:D7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sortType="ascending"/>
    <pivotField axis="axisCol" dataField="1" showAll="0">
      <items count="3">
        <item x="0"/>
        <item x="1"/>
        <item t="default"/>
      </items>
    </pivotField>
  </pivotFields>
  <rowFields count="1">
    <field x="11"/>
  </rowFields>
  <rowItems count="26">
    <i>
      <x v="7"/>
    </i>
    <i>
      <x v="8"/>
    </i>
    <i>
      <x v="10"/>
    </i>
    <i>
      <x v="11"/>
    </i>
    <i>
      <x v="12"/>
    </i>
    <i>
      <x v="13"/>
    </i>
    <i>
      <x v="14"/>
    </i>
    <i>
      <x v="15"/>
    </i>
    <i>
      <x v="16"/>
    </i>
    <i>
      <x v="17"/>
    </i>
    <i>
      <x v="18"/>
    </i>
    <i>
      <x v="19"/>
    </i>
    <i>
      <x v="20"/>
    </i>
    <i>
      <x v="22"/>
    </i>
    <i>
      <x v="23"/>
    </i>
    <i>
      <x v="25"/>
    </i>
    <i>
      <x v="27"/>
    </i>
    <i>
      <x v="34"/>
    </i>
    <i>
      <x v="36"/>
    </i>
    <i>
      <x v="37"/>
    </i>
    <i>
      <x v="39"/>
    </i>
    <i>
      <x v="40"/>
    </i>
    <i>
      <x v="41"/>
    </i>
    <i>
      <x v="51"/>
    </i>
    <i>
      <x v="52"/>
    </i>
    <i t="grand">
      <x/>
    </i>
  </rowItems>
  <colFields count="1">
    <field x="13"/>
  </colFields>
  <colItems count="3">
    <i>
      <x/>
    </i>
    <i>
      <x v="1"/>
    </i>
    <i t="grand">
      <x/>
    </i>
  </colItems>
  <dataFields count="1">
    <dataField name="Count of Purchased Bike" fld="13" subtotal="count" baseField="0" baseItem="0"/>
  </dataFields>
  <formats count="22">
    <format dxfId="944">
      <pivotArea type="all" dataOnly="0" outline="0" fieldPosition="0"/>
    </format>
    <format dxfId="943">
      <pivotArea outline="0" collapsedLevelsAreSubtotals="1" fieldPosition="0"/>
    </format>
    <format dxfId="942">
      <pivotArea type="origin" dataOnly="0" labelOnly="1" outline="0" fieldPosition="0"/>
    </format>
    <format dxfId="941">
      <pivotArea field="13" type="button" dataOnly="0" labelOnly="1" outline="0" axis="axisCol" fieldPosition="0"/>
    </format>
    <format dxfId="940">
      <pivotArea type="topRight" dataOnly="0" labelOnly="1" outline="0" fieldPosition="0"/>
    </format>
    <format dxfId="939">
      <pivotArea field="11" type="button" dataOnly="0" labelOnly="1" outline="0" axis="axisRow" fieldPosition="0"/>
    </format>
    <format dxfId="938">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37">
      <pivotArea dataOnly="0" labelOnly="1" fieldPosition="0">
        <references count="1">
          <reference field="11" count="3">
            <x v="50"/>
            <x v="51"/>
            <x v="52"/>
          </reference>
        </references>
      </pivotArea>
    </format>
    <format dxfId="936">
      <pivotArea dataOnly="0" labelOnly="1" grandRow="1" outline="0" fieldPosition="0"/>
    </format>
    <format dxfId="935">
      <pivotArea dataOnly="0" labelOnly="1" fieldPosition="0">
        <references count="1">
          <reference field="13" count="0"/>
        </references>
      </pivotArea>
    </format>
    <format dxfId="934">
      <pivotArea dataOnly="0" labelOnly="1" grandCol="1" outline="0" fieldPosition="0"/>
    </format>
    <format dxfId="903">
      <pivotArea type="all" dataOnly="0" outline="0" fieldPosition="0"/>
    </format>
    <format dxfId="902">
      <pivotArea outline="0" collapsedLevelsAreSubtotals="1" fieldPosition="0"/>
    </format>
    <format dxfId="901">
      <pivotArea type="origin" dataOnly="0" labelOnly="1" outline="0" fieldPosition="0"/>
    </format>
    <format dxfId="900">
      <pivotArea field="13" type="button" dataOnly="0" labelOnly="1" outline="0" axis="axisCol" fieldPosition="0"/>
    </format>
    <format dxfId="899">
      <pivotArea type="topRight" dataOnly="0" labelOnly="1" outline="0" fieldPosition="0"/>
    </format>
    <format dxfId="898">
      <pivotArea field="11" type="button" dataOnly="0" labelOnly="1" outline="0" axis="axisRow" fieldPosition="0"/>
    </format>
    <format dxfId="897">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96">
      <pivotArea dataOnly="0" labelOnly="1" fieldPosition="0">
        <references count="1">
          <reference field="11" count="3">
            <x v="50"/>
            <x v="51"/>
            <x v="52"/>
          </reference>
        </references>
      </pivotArea>
    </format>
    <format dxfId="895">
      <pivotArea dataOnly="0" labelOnly="1" grandRow="1" outline="0" fieldPosition="0"/>
    </format>
    <format dxfId="894">
      <pivotArea dataOnly="0" labelOnly="1" fieldPosition="0">
        <references count="1">
          <reference field="13" count="0"/>
        </references>
      </pivotArea>
    </format>
    <format dxfId="893">
      <pivotArea dataOnly="0" labelOnly="1" grandCol="1" outline="0"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306BC-E1F1-4C89-A882-B8C654E423C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2:D3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sortType="ascending">
      <items count="8">
        <item m="1" x="3"/>
        <item x="2"/>
        <item m="1" x="5"/>
        <item m="1" x="4"/>
        <item x="0"/>
        <item m="1" x="6"/>
        <item x="1"/>
        <item t="default"/>
      </items>
    </pivotField>
    <pivotField axis="axisCol" dataField="1" showAll="0">
      <items count="3">
        <item x="0"/>
        <item x="1"/>
        <item t="default"/>
      </items>
    </pivotField>
  </pivotFields>
  <rowFields count="1">
    <field x="12"/>
  </rowFields>
  <rowItems count="3">
    <i>
      <x v="4"/>
    </i>
    <i>
      <x v="6"/>
    </i>
    <i t="grand">
      <x/>
    </i>
  </rowItems>
  <colFields count="1">
    <field x="13"/>
  </colFields>
  <colItems count="3">
    <i>
      <x/>
    </i>
    <i>
      <x v="1"/>
    </i>
    <i t="grand">
      <x/>
    </i>
  </colItems>
  <dataFields count="1">
    <dataField name="Count of Purchased Bike" fld="13" subtotal="count" baseField="0" baseItem="0"/>
  </dataFields>
  <formats count="20">
    <format dxfId="955">
      <pivotArea type="all" dataOnly="0" outline="0" fieldPosition="0"/>
    </format>
    <format dxfId="956">
      <pivotArea outline="0" collapsedLevelsAreSubtotals="1" fieldPosition="0"/>
    </format>
    <format dxfId="957">
      <pivotArea type="origin" dataOnly="0" labelOnly="1" outline="0" fieldPosition="0"/>
    </format>
    <format dxfId="958">
      <pivotArea field="13" type="button" dataOnly="0" labelOnly="1" outline="0" axis="axisCol" fieldPosition="0"/>
    </format>
    <format dxfId="959">
      <pivotArea type="topRight" dataOnly="0" labelOnly="1" outline="0" fieldPosition="0"/>
    </format>
    <format dxfId="960">
      <pivotArea field="12" type="button" dataOnly="0" labelOnly="1" outline="0" axis="axisRow" fieldPosition="0"/>
    </format>
    <format dxfId="961">
      <pivotArea dataOnly="0" labelOnly="1" fieldPosition="0">
        <references count="1">
          <reference field="12" count="0"/>
        </references>
      </pivotArea>
    </format>
    <format dxfId="962">
      <pivotArea dataOnly="0" labelOnly="1" grandRow="1" outline="0" fieldPosition="0"/>
    </format>
    <format dxfId="963">
      <pivotArea dataOnly="0" labelOnly="1" fieldPosition="0">
        <references count="1">
          <reference field="13" count="0"/>
        </references>
      </pivotArea>
    </format>
    <format dxfId="964">
      <pivotArea dataOnly="0" labelOnly="1" grandCol="1" outline="0" fieldPosition="0"/>
    </format>
    <format dxfId="913">
      <pivotArea type="all" dataOnly="0" outline="0" fieldPosition="0"/>
    </format>
    <format dxfId="912">
      <pivotArea outline="0" collapsedLevelsAreSubtotals="1" fieldPosition="0"/>
    </format>
    <format dxfId="911">
      <pivotArea type="origin" dataOnly="0" labelOnly="1" outline="0" fieldPosition="0"/>
    </format>
    <format dxfId="910">
      <pivotArea field="13" type="button" dataOnly="0" labelOnly="1" outline="0" axis="axisCol" fieldPosition="0"/>
    </format>
    <format dxfId="909">
      <pivotArea type="topRight" dataOnly="0" labelOnly="1" outline="0" fieldPosition="0"/>
    </format>
    <format dxfId="908">
      <pivotArea field="12" type="button" dataOnly="0" labelOnly="1" outline="0" axis="axisRow" fieldPosition="0"/>
    </format>
    <format dxfId="907">
      <pivotArea dataOnly="0" labelOnly="1" fieldPosition="0">
        <references count="1">
          <reference field="12" count="0"/>
        </references>
      </pivotArea>
    </format>
    <format dxfId="906">
      <pivotArea dataOnly="0" labelOnly="1" grandRow="1" outline="0" fieldPosition="0"/>
    </format>
    <format dxfId="905">
      <pivotArea dataOnly="0" labelOnly="1" fieldPosition="0">
        <references count="1">
          <reference field="13" count="0"/>
        </references>
      </pivotArea>
    </format>
    <format dxfId="904">
      <pivotArea dataOnly="0" labelOnly="1" grandCol="1" outline="0"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759B20F-0889-4F96-A5C3-09A4A7767CC7}" sourceName="Marital Status">
  <pivotTables>
    <pivotTable tabId="3" name="PivotTable5"/>
    <pivotTable tabId="3" name="PivotTable1"/>
    <pivotTable tabId="3" name="PivotTable4"/>
    <pivotTable tabId="3" name="PivotTable6"/>
  </pivotTables>
  <data>
    <tabular pivotCacheId="142294855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65E5F48-5B5B-42E5-8137-3CAC85B5C6F1}" sourceName="Education">
  <pivotTables>
    <pivotTable tabId="3" name="PivotTable4"/>
    <pivotTable tabId="3" name="PivotTable1"/>
    <pivotTable tabId="3" name="PivotTable5"/>
    <pivotTable tabId="3" name="PivotTable6"/>
  </pivotTables>
  <data>
    <tabular pivotCacheId="142294855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5EB91C-7C15-41E3-A804-5D79AF647EFD}" sourceName="Region">
  <pivotTables>
    <pivotTable tabId="3" name="PivotTable4"/>
    <pivotTable tabId="3" name="PivotTable1"/>
    <pivotTable tabId="3" name="PivotTable5"/>
    <pivotTable tabId="3" name="PivotTable6"/>
  </pivotTables>
  <data>
    <tabular pivotCacheId="142294855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DFD1822-7CBC-46E9-A429-59A0C77D6973}" cache="Slicer_Marital_Status" caption="Marital Status" rowHeight="241300"/>
  <slicer name="Education" xr10:uid="{2A60596D-B8F3-4CCA-9179-B3CD0143E476}" cache="Slicer_Education" caption="Education" rowHeight="241300"/>
  <slicer name="Region" xr10:uid="{DE3C6D6A-0E78-4AEF-A49C-2E4A2228FE4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C4AE-B2EF-4B94-B6AF-DCD2E07D38BE}">
  <dimension ref="A1:Y5"/>
  <sheetViews>
    <sheetView showGridLines="0" tabSelected="1" zoomScale="71" zoomScaleNormal="71" workbookViewId="0">
      <selection activeCell="AA15" sqref="AA15"/>
    </sheetView>
  </sheetViews>
  <sheetFormatPr defaultRowHeight="15" x14ac:dyDescent="0.25"/>
  <sheetData>
    <row r="1" spans="1:25" ht="14.45" customHeight="1" x14ac:dyDescent="0.25">
      <c r="A1" s="12" t="s">
        <v>49</v>
      </c>
      <c r="B1" s="12"/>
      <c r="C1" s="12"/>
      <c r="D1" s="12"/>
      <c r="E1" s="12"/>
      <c r="F1" s="12"/>
      <c r="G1" s="12"/>
      <c r="H1" s="12"/>
      <c r="I1" s="12"/>
      <c r="J1" s="12"/>
      <c r="K1" s="12"/>
      <c r="L1" s="12"/>
      <c r="M1" s="12"/>
      <c r="N1" s="12"/>
      <c r="O1" s="12"/>
      <c r="P1" s="12"/>
      <c r="Q1" s="12"/>
      <c r="R1" s="12"/>
      <c r="S1" s="12"/>
      <c r="T1" s="12"/>
      <c r="U1" s="12"/>
      <c r="V1" s="12"/>
      <c r="W1" s="12"/>
      <c r="X1" s="12"/>
      <c r="Y1" s="12"/>
    </row>
    <row r="2" spans="1:25" ht="14.45" customHeight="1" x14ac:dyDescent="0.25">
      <c r="A2" s="12"/>
      <c r="B2" s="12"/>
      <c r="C2" s="12"/>
      <c r="D2" s="12"/>
      <c r="E2" s="12"/>
      <c r="F2" s="12"/>
      <c r="G2" s="12"/>
      <c r="H2" s="12"/>
      <c r="I2" s="12"/>
      <c r="J2" s="12"/>
      <c r="K2" s="12"/>
      <c r="L2" s="12"/>
      <c r="M2" s="12"/>
      <c r="N2" s="12"/>
      <c r="O2" s="12"/>
      <c r="P2" s="12"/>
      <c r="Q2" s="12"/>
      <c r="R2" s="12"/>
      <c r="S2" s="12"/>
      <c r="T2" s="12"/>
      <c r="U2" s="12"/>
      <c r="V2" s="12"/>
      <c r="W2" s="12"/>
      <c r="X2" s="12"/>
      <c r="Y2" s="12"/>
    </row>
    <row r="3" spans="1:25" ht="14.45" customHeight="1" x14ac:dyDescent="0.25">
      <c r="A3" s="12"/>
      <c r="B3" s="12"/>
      <c r="C3" s="12"/>
      <c r="D3" s="12"/>
      <c r="E3" s="12"/>
      <c r="F3" s="12"/>
      <c r="G3" s="12"/>
      <c r="H3" s="12"/>
      <c r="I3" s="12"/>
      <c r="J3" s="12"/>
      <c r="K3" s="12"/>
      <c r="L3" s="12"/>
      <c r="M3" s="12"/>
      <c r="N3" s="12"/>
      <c r="O3" s="12"/>
      <c r="P3" s="12"/>
      <c r="Q3" s="12"/>
      <c r="R3" s="12"/>
      <c r="S3" s="12"/>
      <c r="T3" s="12"/>
      <c r="U3" s="12"/>
      <c r="V3" s="12"/>
      <c r="W3" s="12"/>
      <c r="X3" s="12"/>
      <c r="Y3" s="12"/>
    </row>
    <row r="4" spans="1:25" ht="14.45" customHeight="1" x14ac:dyDescent="0.25">
      <c r="A4" s="12"/>
      <c r="B4" s="12"/>
      <c r="C4" s="12"/>
      <c r="D4" s="12"/>
      <c r="E4" s="12"/>
      <c r="F4" s="12"/>
      <c r="G4" s="12"/>
      <c r="H4" s="12"/>
      <c r="I4" s="12"/>
      <c r="J4" s="12"/>
      <c r="K4" s="12"/>
      <c r="L4" s="12"/>
      <c r="M4" s="12"/>
      <c r="N4" s="12"/>
      <c r="O4" s="12"/>
      <c r="P4" s="12"/>
      <c r="Q4" s="12"/>
      <c r="R4" s="12"/>
      <c r="S4" s="12"/>
      <c r="T4" s="12"/>
      <c r="U4" s="12"/>
      <c r="V4" s="12"/>
      <c r="W4" s="12"/>
      <c r="X4" s="12"/>
      <c r="Y4" s="12"/>
    </row>
    <row r="5" spans="1:25" ht="14.45" customHeight="1" x14ac:dyDescent="0.25">
      <c r="A5" s="12"/>
      <c r="B5" s="12"/>
      <c r="C5" s="12"/>
      <c r="D5" s="12"/>
      <c r="E5" s="12"/>
      <c r="F5" s="12"/>
      <c r="G5" s="12"/>
      <c r="H5" s="12"/>
      <c r="I5" s="12"/>
      <c r="J5" s="12"/>
      <c r="K5" s="12"/>
      <c r="L5" s="12"/>
      <c r="M5" s="12"/>
      <c r="N5" s="12"/>
      <c r="O5" s="12"/>
      <c r="P5" s="12"/>
      <c r="Q5" s="12"/>
      <c r="R5" s="12"/>
      <c r="S5" s="12"/>
      <c r="T5" s="12"/>
      <c r="U5" s="12"/>
      <c r="V5" s="12"/>
      <c r="W5" s="12"/>
      <c r="X5" s="12"/>
      <c r="Y5" s="12"/>
    </row>
  </sheetData>
  <mergeCells count="1">
    <mergeCell ref="A1:Y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2F6A-2359-4EC9-BE9C-5344A2066121}">
  <dimension ref="A1:D77"/>
  <sheetViews>
    <sheetView workbookViewId="0">
      <selection activeCell="C10" sqref="C10"/>
    </sheetView>
  </sheetViews>
  <sheetFormatPr defaultRowHeight="15" x14ac:dyDescent="0.25"/>
  <cols>
    <col min="1" max="1" width="22.85546875" bestFit="1" customWidth="1"/>
    <col min="2" max="2" width="18.5703125" bestFit="1" customWidth="1"/>
    <col min="3" max="3" width="4.140625" bestFit="1" customWidth="1"/>
    <col min="4" max="4" width="11.28515625" bestFit="1" customWidth="1"/>
    <col min="6" max="6" width="27" customWidth="1"/>
    <col min="7" max="9" width="20.7109375" customWidth="1"/>
  </cols>
  <sheetData>
    <row r="1" spans="1:4" ht="20.100000000000001" customHeight="1" x14ac:dyDescent="0.25">
      <c r="A1" s="4" t="s">
        <v>43</v>
      </c>
      <c r="B1" s="5" t="s">
        <v>44</v>
      </c>
      <c r="C1" s="6"/>
      <c r="D1" s="6"/>
    </row>
    <row r="2" spans="1:4" ht="20.100000000000001" customHeight="1" x14ac:dyDescent="0.25">
      <c r="A2" s="4" t="s">
        <v>41</v>
      </c>
      <c r="B2" s="6" t="s">
        <v>18</v>
      </c>
      <c r="C2" s="6" t="s">
        <v>15</v>
      </c>
      <c r="D2" s="6" t="s">
        <v>42</v>
      </c>
    </row>
    <row r="3" spans="1:4" ht="20.100000000000001" customHeight="1" x14ac:dyDescent="0.25">
      <c r="A3" s="7" t="s">
        <v>38</v>
      </c>
      <c r="B3" s="6">
        <v>38823.529411764706</v>
      </c>
      <c r="C3" s="6">
        <v>40000</v>
      </c>
      <c r="D3" s="6">
        <v>39428.571428571428</v>
      </c>
    </row>
    <row r="4" spans="1:4" ht="20.100000000000001" customHeight="1" x14ac:dyDescent="0.25">
      <c r="A4" s="7" t="s">
        <v>39</v>
      </c>
      <c r="B4" s="6">
        <v>40000</v>
      </c>
      <c r="C4" s="6">
        <v>35294.117647058825</v>
      </c>
      <c r="D4" s="6">
        <v>36800</v>
      </c>
    </row>
    <row r="5" spans="1:4" ht="20.100000000000001" customHeight="1" x14ac:dyDescent="0.25">
      <c r="A5" s="7" t="s">
        <v>42</v>
      </c>
      <c r="B5" s="6">
        <v>39200</v>
      </c>
      <c r="C5" s="6">
        <v>37714.285714285717</v>
      </c>
      <c r="D5" s="6">
        <v>38333.333333333336</v>
      </c>
    </row>
    <row r="6" spans="1:4" ht="20.100000000000001" customHeight="1" x14ac:dyDescent="0.25"/>
    <row r="7" spans="1:4" ht="20.100000000000001" customHeight="1" x14ac:dyDescent="0.25"/>
    <row r="8" spans="1:4" ht="20.100000000000001" customHeight="1" x14ac:dyDescent="0.25"/>
    <row r="15" spans="1:4" x14ac:dyDescent="0.25">
      <c r="A15" s="8" t="s">
        <v>45</v>
      </c>
      <c r="B15" s="8" t="s">
        <v>44</v>
      </c>
      <c r="C15" s="9"/>
      <c r="D15" s="9"/>
    </row>
    <row r="16" spans="1:4" x14ac:dyDescent="0.25">
      <c r="A16" s="8" t="s">
        <v>41</v>
      </c>
      <c r="B16" s="9" t="s">
        <v>18</v>
      </c>
      <c r="C16" s="9" t="s">
        <v>15</v>
      </c>
      <c r="D16" s="9" t="s">
        <v>42</v>
      </c>
    </row>
    <row r="17" spans="1:4" x14ac:dyDescent="0.25">
      <c r="A17" s="9" t="s">
        <v>16</v>
      </c>
      <c r="B17" s="10">
        <v>20</v>
      </c>
      <c r="C17" s="10">
        <v>31</v>
      </c>
      <c r="D17" s="10">
        <v>51</v>
      </c>
    </row>
    <row r="18" spans="1:4" x14ac:dyDescent="0.25">
      <c r="A18" s="9" t="s">
        <v>26</v>
      </c>
      <c r="B18" s="10"/>
      <c r="C18" s="10">
        <v>3</v>
      </c>
      <c r="D18" s="10">
        <v>3</v>
      </c>
    </row>
    <row r="19" spans="1:4" x14ac:dyDescent="0.25">
      <c r="A19" s="9" t="s">
        <v>22</v>
      </c>
      <c r="B19" s="10">
        <v>4</v>
      </c>
      <c r="C19" s="10"/>
      <c r="D19" s="10">
        <v>4</v>
      </c>
    </row>
    <row r="20" spans="1:4" x14ac:dyDescent="0.25">
      <c r="A20" s="9" t="s">
        <v>46</v>
      </c>
      <c r="B20" s="10">
        <v>1</v>
      </c>
      <c r="C20" s="10">
        <v>1</v>
      </c>
      <c r="D20" s="10">
        <v>2</v>
      </c>
    </row>
    <row r="21" spans="1:4" x14ac:dyDescent="0.25">
      <c r="A21" s="9" t="s">
        <v>42</v>
      </c>
      <c r="B21" s="10">
        <v>25</v>
      </c>
      <c r="C21" s="10">
        <v>35</v>
      </c>
      <c r="D21" s="10">
        <v>60</v>
      </c>
    </row>
    <row r="32" spans="1:4" x14ac:dyDescent="0.25">
      <c r="A32" s="4" t="s">
        <v>45</v>
      </c>
      <c r="B32" s="4" t="s">
        <v>44</v>
      </c>
      <c r="C32" s="7"/>
      <c r="D32" s="7"/>
    </row>
    <row r="33" spans="1:4" x14ac:dyDescent="0.25">
      <c r="A33" s="4" t="s">
        <v>41</v>
      </c>
      <c r="B33" s="7" t="s">
        <v>18</v>
      </c>
      <c r="C33" s="7" t="s">
        <v>15</v>
      </c>
      <c r="D33" s="7" t="s">
        <v>42</v>
      </c>
    </row>
    <row r="34" spans="1:4" x14ac:dyDescent="0.25">
      <c r="A34" s="7" t="s">
        <v>47</v>
      </c>
      <c r="B34" s="11">
        <v>14</v>
      </c>
      <c r="C34" s="11">
        <v>32</v>
      </c>
      <c r="D34" s="11">
        <v>46</v>
      </c>
    </row>
    <row r="35" spans="1:4" x14ac:dyDescent="0.25">
      <c r="A35" s="7" t="s">
        <v>48</v>
      </c>
      <c r="B35" s="11">
        <v>11</v>
      </c>
      <c r="C35" s="11">
        <v>3</v>
      </c>
      <c r="D35" s="11">
        <v>14</v>
      </c>
    </row>
    <row r="36" spans="1:4" x14ac:dyDescent="0.25">
      <c r="A36" s="7" t="s">
        <v>42</v>
      </c>
      <c r="B36" s="11">
        <v>25</v>
      </c>
      <c r="C36" s="11">
        <v>35</v>
      </c>
      <c r="D36" s="11">
        <v>60</v>
      </c>
    </row>
    <row r="50" spans="1:4" x14ac:dyDescent="0.25">
      <c r="A50" s="4" t="s">
        <v>45</v>
      </c>
      <c r="B50" s="4" t="s">
        <v>44</v>
      </c>
      <c r="C50" s="7"/>
      <c r="D50" s="7"/>
    </row>
    <row r="51" spans="1:4" x14ac:dyDescent="0.25">
      <c r="A51" s="4" t="s">
        <v>41</v>
      </c>
      <c r="B51" s="7" t="s">
        <v>18</v>
      </c>
      <c r="C51" s="7" t="s">
        <v>15</v>
      </c>
      <c r="D51" s="7" t="s">
        <v>42</v>
      </c>
    </row>
    <row r="52" spans="1:4" x14ac:dyDescent="0.25">
      <c r="A52" s="7">
        <v>32</v>
      </c>
      <c r="B52" s="11"/>
      <c r="C52" s="11">
        <v>3</v>
      </c>
      <c r="D52" s="11">
        <v>3</v>
      </c>
    </row>
    <row r="53" spans="1:4" x14ac:dyDescent="0.25">
      <c r="A53" s="7">
        <v>33</v>
      </c>
      <c r="B53" s="11"/>
      <c r="C53" s="11">
        <v>2</v>
      </c>
      <c r="D53" s="11">
        <v>2</v>
      </c>
    </row>
    <row r="54" spans="1:4" x14ac:dyDescent="0.25">
      <c r="A54" s="7">
        <v>35</v>
      </c>
      <c r="B54" s="11"/>
      <c r="C54" s="11">
        <v>2</v>
      </c>
      <c r="D54" s="11">
        <v>2</v>
      </c>
    </row>
    <row r="55" spans="1:4" x14ac:dyDescent="0.25">
      <c r="A55" s="7">
        <v>36</v>
      </c>
      <c r="B55" s="11"/>
      <c r="C55" s="11">
        <v>1</v>
      </c>
      <c r="D55" s="11">
        <v>1</v>
      </c>
    </row>
    <row r="56" spans="1:4" x14ac:dyDescent="0.25">
      <c r="A56" s="7">
        <v>37</v>
      </c>
      <c r="B56" s="11"/>
      <c r="C56" s="11">
        <v>2</v>
      </c>
      <c r="D56" s="11">
        <v>2</v>
      </c>
    </row>
    <row r="57" spans="1:4" x14ac:dyDescent="0.25">
      <c r="A57" s="7">
        <v>38</v>
      </c>
      <c r="B57" s="11"/>
      <c r="C57" s="11">
        <v>6</v>
      </c>
      <c r="D57" s="11">
        <v>6</v>
      </c>
    </row>
    <row r="58" spans="1:4" x14ac:dyDescent="0.25">
      <c r="A58" s="7">
        <v>39</v>
      </c>
      <c r="B58" s="11">
        <v>2</v>
      </c>
      <c r="C58" s="11">
        <v>1</v>
      </c>
      <c r="D58" s="11">
        <v>3</v>
      </c>
    </row>
    <row r="59" spans="1:4" x14ac:dyDescent="0.25">
      <c r="A59" s="7">
        <v>40</v>
      </c>
      <c r="B59" s="11">
        <v>2</v>
      </c>
      <c r="C59" s="11">
        <v>2</v>
      </c>
      <c r="D59" s="11">
        <v>4</v>
      </c>
    </row>
    <row r="60" spans="1:4" x14ac:dyDescent="0.25">
      <c r="A60" s="7">
        <v>41</v>
      </c>
      <c r="B60" s="11">
        <v>2</v>
      </c>
      <c r="C60" s="11">
        <v>1</v>
      </c>
      <c r="D60" s="11">
        <v>3</v>
      </c>
    </row>
    <row r="61" spans="1:4" x14ac:dyDescent="0.25">
      <c r="A61" s="7">
        <v>42</v>
      </c>
      <c r="B61" s="11">
        <v>3</v>
      </c>
      <c r="C61" s="11">
        <v>2</v>
      </c>
      <c r="D61" s="11">
        <v>5</v>
      </c>
    </row>
    <row r="62" spans="1:4" x14ac:dyDescent="0.25">
      <c r="A62" s="7">
        <v>43</v>
      </c>
      <c r="B62" s="11"/>
      <c r="C62" s="11">
        <v>5</v>
      </c>
      <c r="D62" s="11">
        <v>5</v>
      </c>
    </row>
    <row r="63" spans="1:4" x14ac:dyDescent="0.25">
      <c r="A63" s="7">
        <v>44</v>
      </c>
      <c r="B63" s="11"/>
      <c r="C63" s="11">
        <v>1</v>
      </c>
      <c r="D63" s="11">
        <v>1</v>
      </c>
    </row>
    <row r="64" spans="1:4" x14ac:dyDescent="0.25">
      <c r="A64" s="7">
        <v>45</v>
      </c>
      <c r="B64" s="11">
        <v>1</v>
      </c>
      <c r="C64" s="11"/>
      <c r="D64" s="11">
        <v>1</v>
      </c>
    </row>
    <row r="65" spans="1:4" x14ac:dyDescent="0.25">
      <c r="A65" s="7">
        <v>47</v>
      </c>
      <c r="B65" s="11">
        <v>3</v>
      </c>
      <c r="C65" s="11">
        <v>2</v>
      </c>
      <c r="D65" s="11">
        <v>5</v>
      </c>
    </row>
    <row r="66" spans="1:4" x14ac:dyDescent="0.25">
      <c r="A66" s="7">
        <v>48</v>
      </c>
      <c r="B66" s="11">
        <v>1</v>
      </c>
      <c r="C66" s="11"/>
      <c r="D66" s="11">
        <v>1</v>
      </c>
    </row>
    <row r="67" spans="1:4" x14ac:dyDescent="0.25">
      <c r="A67" s="7">
        <v>50</v>
      </c>
      <c r="B67" s="11"/>
      <c r="C67" s="11">
        <v>1</v>
      </c>
      <c r="D67" s="11">
        <v>1</v>
      </c>
    </row>
    <row r="68" spans="1:4" x14ac:dyDescent="0.25">
      <c r="A68" s="7">
        <v>52</v>
      </c>
      <c r="B68" s="11"/>
      <c r="C68" s="11">
        <v>1</v>
      </c>
      <c r="D68" s="11">
        <v>1</v>
      </c>
    </row>
    <row r="69" spans="1:4" x14ac:dyDescent="0.25">
      <c r="A69" s="7">
        <v>59</v>
      </c>
      <c r="B69" s="11">
        <v>1</v>
      </c>
      <c r="C69" s="11"/>
      <c r="D69" s="11">
        <v>1</v>
      </c>
    </row>
    <row r="70" spans="1:4" x14ac:dyDescent="0.25">
      <c r="A70" s="7">
        <v>61</v>
      </c>
      <c r="B70" s="11">
        <v>1</v>
      </c>
      <c r="C70" s="11"/>
      <c r="D70" s="11">
        <v>1</v>
      </c>
    </row>
    <row r="71" spans="1:4" x14ac:dyDescent="0.25">
      <c r="A71" s="7">
        <v>62</v>
      </c>
      <c r="B71" s="11">
        <v>2</v>
      </c>
      <c r="C71" s="11"/>
      <c r="D71" s="11">
        <v>2</v>
      </c>
    </row>
    <row r="72" spans="1:4" x14ac:dyDescent="0.25">
      <c r="A72" s="7">
        <v>64</v>
      </c>
      <c r="B72" s="11">
        <v>1</v>
      </c>
      <c r="C72" s="11">
        <v>1</v>
      </c>
      <c r="D72" s="11">
        <v>2</v>
      </c>
    </row>
    <row r="73" spans="1:4" x14ac:dyDescent="0.25">
      <c r="A73" s="7">
        <v>65</v>
      </c>
      <c r="B73" s="11">
        <v>2</v>
      </c>
      <c r="C73" s="11">
        <v>1</v>
      </c>
      <c r="D73" s="11">
        <v>3</v>
      </c>
    </row>
    <row r="74" spans="1:4" x14ac:dyDescent="0.25">
      <c r="A74" s="7">
        <v>66</v>
      </c>
      <c r="B74" s="11">
        <v>2</v>
      </c>
      <c r="C74" s="11">
        <v>1</v>
      </c>
      <c r="D74" s="11">
        <v>3</v>
      </c>
    </row>
    <row r="75" spans="1:4" x14ac:dyDescent="0.25">
      <c r="A75" s="7">
        <v>80</v>
      </c>
      <c r="B75" s="11">
        <v>1</v>
      </c>
      <c r="C75" s="11"/>
      <c r="D75" s="11">
        <v>1</v>
      </c>
    </row>
    <row r="76" spans="1:4" x14ac:dyDescent="0.25">
      <c r="A76" s="7">
        <v>89</v>
      </c>
      <c r="B76" s="11">
        <v>1</v>
      </c>
      <c r="C76" s="11"/>
      <c r="D76" s="11">
        <v>1</v>
      </c>
    </row>
    <row r="77" spans="1:4" x14ac:dyDescent="0.25">
      <c r="A77" s="7" t="s">
        <v>42</v>
      </c>
      <c r="B77" s="11">
        <v>25</v>
      </c>
      <c r="C77" s="11">
        <v>35</v>
      </c>
      <c r="D77" s="11">
        <v>60</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8E4C-8F76-460B-8FBB-5751C139280A}">
  <dimension ref="A1:N1027"/>
  <sheetViews>
    <sheetView topLeftCell="F37" workbookViewId="0">
      <selection activeCell="M2" sqref="M2:M1027"/>
    </sheetView>
  </sheetViews>
  <sheetFormatPr defaultColWidth="11.85546875" defaultRowHeight="15" x14ac:dyDescent="0.25"/>
  <cols>
    <col min="2" max="2" width="33.42578125" customWidth="1"/>
    <col min="3" max="3" width="15.7109375" customWidth="1"/>
    <col min="4" max="4" width="19.28515625" style="3" customWidth="1"/>
    <col min="6" max="6" width="20.140625" customWidth="1"/>
    <col min="7" max="7" width="17.42578125" customWidth="1"/>
    <col min="8" max="8" width="16.28515625" customWidth="1"/>
    <col min="10" max="10" width="21" customWidth="1"/>
    <col min="11" max="11" width="13.5703125" customWidth="1"/>
    <col min="12" max="12" width="17" customWidth="1"/>
    <col min="13" max="13" width="25.42578125" customWidth="1"/>
    <col min="14" max="14" width="17.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IF(L2&gt;55,"old ",IF(L2&gt;=31,"Middle Age ",IF(L2&lt;31,"Adolescent ","Invalid")))</f>
        <v xml:space="preserve">Middle Age </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IF(L3&gt;55,"old ",IF(L3&gt;=31,"Middle Age ",IF(L3&lt;31,"Adolescent ","Invalid")))</f>
        <v xml:space="preserve">Middle Age </v>
      </c>
      <c r="N3" t="s">
        <v>18</v>
      </c>
    </row>
    <row r="4" spans="1:14" x14ac:dyDescent="0.25">
      <c r="A4">
        <v>14177</v>
      </c>
      <c r="B4" t="s">
        <v>36</v>
      </c>
      <c r="C4" t="s">
        <v>39</v>
      </c>
      <c r="D4" s="3">
        <v>80000</v>
      </c>
      <c r="E4">
        <v>5</v>
      </c>
      <c r="F4" t="s">
        <v>19</v>
      </c>
      <c r="G4" t="s">
        <v>21</v>
      </c>
      <c r="H4" t="s">
        <v>18</v>
      </c>
      <c r="I4">
        <v>2</v>
      </c>
      <c r="J4" t="s">
        <v>22</v>
      </c>
      <c r="K4" t="s">
        <v>17</v>
      </c>
      <c r="L4">
        <v>60</v>
      </c>
      <c r="M4" t="str">
        <f t="shared" si="0"/>
        <v xml:space="preserve">old </v>
      </c>
      <c r="N4" t="s">
        <v>18</v>
      </c>
    </row>
    <row r="5" spans="1:14" x14ac:dyDescent="0.25">
      <c r="A5">
        <v>24381</v>
      </c>
      <c r="B5" t="s">
        <v>37</v>
      </c>
      <c r="C5" t="s">
        <v>39</v>
      </c>
      <c r="D5" s="3">
        <v>70000</v>
      </c>
      <c r="E5">
        <v>0</v>
      </c>
      <c r="F5" t="s">
        <v>13</v>
      </c>
      <c r="G5" t="s">
        <v>21</v>
      </c>
      <c r="H5" t="s">
        <v>15</v>
      </c>
      <c r="I5">
        <v>1</v>
      </c>
      <c r="J5" t="s">
        <v>23</v>
      </c>
      <c r="K5" t="s">
        <v>24</v>
      </c>
      <c r="L5">
        <v>41</v>
      </c>
      <c r="M5" t="str">
        <f t="shared" si="0"/>
        <v xml:space="preserve">Middle Age </v>
      </c>
      <c r="N5" t="s">
        <v>15</v>
      </c>
    </row>
    <row r="6" spans="1:14" x14ac:dyDescent="0.25">
      <c r="A6">
        <v>25597</v>
      </c>
      <c r="B6" t="s">
        <v>37</v>
      </c>
      <c r="C6" t="s">
        <v>39</v>
      </c>
      <c r="D6" s="3">
        <v>30000</v>
      </c>
      <c r="E6">
        <v>0</v>
      </c>
      <c r="F6" t="s">
        <v>13</v>
      </c>
      <c r="G6" t="s">
        <v>20</v>
      </c>
      <c r="H6" t="s">
        <v>18</v>
      </c>
      <c r="I6">
        <v>0</v>
      </c>
      <c r="J6" t="s">
        <v>16</v>
      </c>
      <c r="K6" t="s">
        <v>17</v>
      </c>
      <c r="L6">
        <v>36</v>
      </c>
      <c r="M6" t="str">
        <f t="shared" si="0"/>
        <v xml:space="preserve">Middle Age </v>
      </c>
      <c r="N6" t="s">
        <v>15</v>
      </c>
    </row>
    <row r="7" spans="1:14" x14ac:dyDescent="0.25">
      <c r="A7">
        <v>13507</v>
      </c>
      <c r="B7" t="s">
        <v>36</v>
      </c>
      <c r="C7" t="s">
        <v>38</v>
      </c>
      <c r="D7" s="3">
        <v>10000</v>
      </c>
      <c r="E7">
        <v>2</v>
      </c>
      <c r="F7" t="s">
        <v>19</v>
      </c>
      <c r="G7" t="s">
        <v>25</v>
      </c>
      <c r="H7" t="s">
        <v>15</v>
      </c>
      <c r="I7">
        <v>0</v>
      </c>
      <c r="J7" t="s">
        <v>26</v>
      </c>
      <c r="K7" t="s">
        <v>17</v>
      </c>
      <c r="L7">
        <v>50</v>
      </c>
      <c r="M7" t="str">
        <f t="shared" si="0"/>
        <v xml:space="preserve">Middle Age </v>
      </c>
      <c r="N7" t="s">
        <v>18</v>
      </c>
    </row>
    <row r="8" spans="1:14" x14ac:dyDescent="0.25">
      <c r="A8">
        <v>27974</v>
      </c>
      <c r="B8" t="s">
        <v>37</v>
      </c>
      <c r="C8" t="s">
        <v>39</v>
      </c>
      <c r="D8" s="3">
        <v>160000</v>
      </c>
      <c r="E8">
        <v>2</v>
      </c>
      <c r="F8" t="s">
        <v>27</v>
      </c>
      <c r="G8" t="s">
        <v>28</v>
      </c>
      <c r="H8" t="s">
        <v>15</v>
      </c>
      <c r="I8">
        <v>4</v>
      </c>
      <c r="J8" t="s">
        <v>16</v>
      </c>
      <c r="K8" t="s">
        <v>24</v>
      </c>
      <c r="L8">
        <v>33</v>
      </c>
      <c r="M8" t="str">
        <f t="shared" si="0"/>
        <v xml:space="preserve">Middle Age </v>
      </c>
      <c r="N8" t="s">
        <v>15</v>
      </c>
    </row>
    <row r="9" spans="1:14" x14ac:dyDescent="0.25">
      <c r="A9">
        <v>19364</v>
      </c>
      <c r="B9" t="s">
        <v>36</v>
      </c>
      <c r="C9" t="s">
        <v>39</v>
      </c>
      <c r="D9" s="3">
        <v>40000</v>
      </c>
      <c r="E9">
        <v>1</v>
      </c>
      <c r="F9" t="s">
        <v>13</v>
      </c>
      <c r="G9" t="s">
        <v>14</v>
      </c>
      <c r="H9" t="s">
        <v>15</v>
      </c>
      <c r="I9">
        <v>0</v>
      </c>
      <c r="J9" t="s">
        <v>16</v>
      </c>
      <c r="K9" t="s">
        <v>17</v>
      </c>
      <c r="L9">
        <v>43</v>
      </c>
      <c r="M9" t="str">
        <f t="shared" si="0"/>
        <v xml:space="preserve">Middle Age </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 xml:space="preserve">old </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 xml:space="preserve">Middle Age </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 xml:space="preserve">Middle Age </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 xml:space="preserve">Middle Age </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 xml:space="preserve">Middle Age </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 xml:space="preserve">Middle Age </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 xml:space="preserve">Middle Age </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 xml:space="preserve">Middle Age </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 xml:space="preserve">old </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 xml:space="preserve">Middle Age </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 xml:space="preserve">Middle Age </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 xml:space="preserve">Middle Age </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 xml:space="preserve">Middle Age </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 xml:space="preserve">Middle Age </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 xml:space="preserve">Middle Age </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 xml:space="preserve">old </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 xml:space="preserve">Middle Age </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 xml:space="preserve">old </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 xml:space="preserve">Adolescent </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 xml:space="preserve">Middle Age </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 xml:space="preserve">Middle Age </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 xml:space="preserve">Middle Age </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 xml:space="preserve">old </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 xml:space="preserve">Adolescent </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 xml:space="preserve">Middle Age </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 xml:space="preserve">Middle Age </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 xml:space="preserve">old </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 xml:space="preserve">Middle Age </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 xml:space="preserve">Middle Age </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 xml:space="preserve">Adolescent </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 xml:space="preserve">Adolescent </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 xml:space="preserve">Middle Age </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 xml:space="preserve">Middle Age </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 xml:space="preserve">old </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 xml:space="preserve">Middle Age </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 xml:space="preserve">Middle Age </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 xml:space="preserve">Middle Age </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 xml:space="preserve">old </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 xml:space="preserve">Middle Age </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 xml:space="preserve">Middle Age </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 xml:space="preserve">Middle Age </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 xml:space="preserve">Middle Age </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 xml:space="preserve">Adolescent </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 xml:space="preserve">Middle Age </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 xml:space="preserve">old </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 xml:space="preserve">old </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 xml:space="preserve">Middle Age </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 xml:space="preserve">Middle Age </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 xml:space="preserve">Middle Age </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 xml:space="preserve">old </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 xml:space="preserve">Middle Age </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 xml:space="preserve">Middle Age </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 xml:space="preserve">Middle Age </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 xml:space="preserve">Middle Age </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 xml:space="preserve">Middle Age </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 xml:space="preserve">Middle Age </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 xml:space="preserve">Middle Age </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IF(L67&gt;55,"old ",IF(L67&gt;=31,"Middle Age ",IF(L67&lt;31,"Adolescent ","Invalid")))</f>
        <v xml:space="preserve">old </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 xml:space="preserve">Middle Age </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 xml:space="preserve">Middle Age </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 xml:space="preserve">Middle Age </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 xml:space="preserve">Adolescent </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 xml:space="preserve">Middle Age </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 xml:space="preserve">Middle Age </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 xml:space="preserve">Middle Age </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 xml:space="preserve">Middle Age </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 xml:space="preserve">old </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 xml:space="preserve">Middle Age </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 xml:space="preserve">Adolescent </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 xml:space="preserve">Adolescent </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 xml:space="preserve">Middle Age </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 xml:space="preserve">old </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 xml:space="preserve">Middle Age </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 xml:space="preserve">Middle Age </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 xml:space="preserve">Middle Age </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 xml:space="preserve">Adolescent </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 xml:space="preserve">Middle Age </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 xml:space="preserve">Adolescent </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 xml:space="preserve">Middle Age </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 xml:space="preserve">Middle Age </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 xml:space="preserve">Adolescent </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 xml:space="preserve">Middle Age </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 xml:space="preserve">Adolescent </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 xml:space="preserve">Adolescent </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 xml:space="preserve">Middle Age </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 xml:space="preserve">Middle Age </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 xml:space="preserve">Middle Age </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 xml:space="preserve">old </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 xml:space="preserve">Middle Age </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 xml:space="preserve">Middle Age </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 xml:space="preserve">Adolescent </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 xml:space="preserve">Middle Age </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 xml:space="preserve">Middle Age </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 xml:space="preserve">Middle Age </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 xml:space="preserve">Middle Age </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 xml:space="preserve">Middle Age </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 xml:space="preserve">Middle Age </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 xml:space="preserve">Adolescent </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 xml:space="preserve">Middle Age </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 xml:space="preserve">Middle Age </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 xml:space="preserve">Middle Age </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 xml:space="preserve">Middle Age </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 xml:space="preserve">Middle Age </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 xml:space="preserve">Middle Age </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 xml:space="preserve">Middle Age </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 xml:space="preserve">Middle Age </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 xml:space="preserve">Adolescent </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 xml:space="preserve">Adolescent </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 xml:space="preserve">Middle Age </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 xml:space="preserve">Middle Age </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 xml:space="preserve">old </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 xml:space="preserve">Adolescent </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 xml:space="preserve">old </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 xml:space="preserve">Middle Age </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 xml:space="preserve">Middle Age </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 xml:space="preserve">old </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 xml:space="preserve">Middle Age </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 xml:space="preserve">Middle Age </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 xml:space="preserve">Middle Age </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 xml:space="preserve">Middle Age </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 xml:space="preserve">Middle Age </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IF(L131&gt;55,"old ",IF(L131&gt;=31,"Middle Age ",IF(L131&lt;31,"Adolescent ","Invalid")))</f>
        <v xml:space="preserve">Middle Age </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 xml:space="preserve">Middle Age </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 xml:space="preserve">old </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 xml:space="preserve">Middle Age </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 xml:space="preserve">old </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 xml:space="preserve">Middle Age </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 xml:space="preserve">Middle Age </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 xml:space="preserve">Middle Age </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 xml:space="preserve">Middle Age </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 xml:space="preserve">Middle Age </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 xml:space="preserve">old </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 xml:space="preserve">Middle Age </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 xml:space="preserve">Adolescent </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 xml:space="preserve">Middle Age </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 xml:space="preserve">Middle Age </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 xml:space="preserve">Middle Age </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 xml:space="preserve">Middle Age </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 xml:space="preserve">Middle Age </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 xml:space="preserve">Middle Age </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 xml:space="preserve">old </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 xml:space="preserve">Adolescent </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 xml:space="preserve">Middle Age </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 xml:space="preserve">Middle Age </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 xml:space="preserve">Middle Age </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 xml:space="preserve">Middle Age </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 xml:space="preserve">Middle Age </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 xml:space="preserve">Middle Age </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 xml:space="preserve">old </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 xml:space="preserve">Middle Age </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 xml:space="preserve">Middle Age </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 xml:space="preserve">Middle Age </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 xml:space="preserve">Middle Age </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 xml:space="preserve">Middle Age </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 xml:space="preserve">Middle Age </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 xml:space="preserve">Middle Age </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 xml:space="preserve">Adolescent </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 xml:space="preserve">Adolescent </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 xml:space="preserve">Middle Age </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 xml:space="preserve">Middle Age </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 xml:space="preserve">Middle Age </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 xml:space="preserve">Middle Age </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 xml:space="preserve">old </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 xml:space="preserve">old </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 xml:space="preserve">Middle Age </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 xml:space="preserve">Adolescent </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 xml:space="preserve">Middle Age </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 xml:space="preserve">Middle Age </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 xml:space="preserve">Adolescent </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 xml:space="preserve">Middle Age </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 xml:space="preserve">Middle Age </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 xml:space="preserve">Middle Age </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 xml:space="preserve">Middle Age </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 xml:space="preserve">Middle Age </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 xml:space="preserve">Middle Age </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 xml:space="preserve">old </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 xml:space="preserve">old </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 xml:space="preserve">Middle Age </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 xml:space="preserve">old </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 xml:space="preserve">old </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 xml:space="preserve">Middle Age </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 xml:space="preserve">Middle Age </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 xml:space="preserve">Middle Age </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 xml:space="preserve">Middle Age </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 xml:space="preserve">old </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IF(L195&gt;55,"old ",IF(L195&gt;=31,"Middle Age ",IF(L195&lt;31,"Adolescent ","Invalid")))</f>
        <v xml:space="preserve">Middle Age </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 xml:space="preserve">Middle Age </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 xml:space="preserve">Adolescent </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 xml:space="preserve">Middle Age </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 xml:space="preserve">old </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 xml:space="preserve">Middle Age </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 xml:space="preserve">Middle Age </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 xml:space="preserve">Middle Age </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 xml:space="preserve">Adolescent </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 xml:space="preserve">Middle Age </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 xml:space="preserve">Middle Age </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 xml:space="preserve">Middle Age </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 xml:space="preserve">Middle Age </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 xml:space="preserve">old </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 xml:space="preserve">Adolescent </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 xml:space="preserve">Middle Age </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 xml:space="preserve">Middle Age </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 xml:space="preserve">Middle Age </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 xml:space="preserve">Middle Age </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 xml:space="preserve">Adolescent </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 xml:space="preserve">Middle Age </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 xml:space="preserve">old </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 xml:space="preserve">Middle Age </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 xml:space="preserve">Middle Age </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 xml:space="preserve">Adolescent </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 xml:space="preserve">Middle Age </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 xml:space="preserve">Adolescent </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 xml:space="preserve">Middle Age </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 xml:space="preserve">Middle Age </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 xml:space="preserve">Middle Age </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 xml:space="preserve">Middle Age </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 xml:space="preserve">old </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 xml:space="preserve">Middle Age </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 xml:space="preserve">Middle Age </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 xml:space="preserve">Middle Age </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 xml:space="preserve">Middle Age </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 xml:space="preserve">old </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 xml:space="preserve">old </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 xml:space="preserve">Middle Age </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 xml:space="preserve">Middle Age </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 xml:space="preserve">Adolescent </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 xml:space="preserve">Middle Age </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 xml:space="preserve">old </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 xml:space="preserve">Middle Age </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 xml:space="preserve">Adolescent </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 xml:space="preserve">Middle Age </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 xml:space="preserve">Middle Age </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 xml:space="preserve">Middle Age </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 xml:space="preserve">Adolescent </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 xml:space="preserve">Middle Age </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 xml:space="preserve">Adolescent </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 xml:space="preserve">Middle Age </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 xml:space="preserve">Middle Age </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 xml:space="preserve">Middle Age </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 xml:space="preserve">Middle Age </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 xml:space="preserve">old </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 xml:space="preserve">Middle Age </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 xml:space="preserve">old </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 xml:space="preserve">Middle Age </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 xml:space="preserve">Middle Age </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 xml:space="preserve">old </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 xml:space="preserve">old </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 xml:space="preserve">Middle Age </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 xml:space="preserve">Middle Age </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IF(L259&gt;55,"old ",IF(L259&gt;=31,"Middle Age ",IF(L259&lt;31,"Adolescent ","Invalid")))</f>
        <v xml:space="preserve">Middle Age </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 xml:space="preserve">old </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 xml:space="preserve">Middle Age </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 xml:space="preserve">Middle Age </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 xml:space="preserve">Middle Age </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 xml:space="preserve">Middle Age </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 xml:space="preserve">Middle Age </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 xml:space="preserve">Middle Age </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 xml:space="preserve">Middle Age </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 xml:space="preserve">Adolescent </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 xml:space="preserve">Middle Age </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 xml:space="preserve">Middle Age </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 xml:space="preserve">Middle Age </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 xml:space="preserve">Middle Age </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 xml:space="preserve">Adolescent </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 xml:space="preserve">Middle Age </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 xml:space="preserve">Adolescent </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 xml:space="preserve">Middle Age </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 xml:space="preserve">Middle Age </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 xml:space="preserve">Middle Age </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 xml:space="preserve">Middle Age </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 xml:space="preserve">Middle Age </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 xml:space="preserve">Middle Age </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 xml:space="preserve">Middle Age </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 xml:space="preserve">Middle Age </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 xml:space="preserve">Middle Age </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 xml:space="preserve">Middle Age </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 xml:space="preserve">Middle Age </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 xml:space="preserve">Middle Age </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 xml:space="preserve">Middle Age </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 xml:space="preserve">Middle Age </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 xml:space="preserve">Middle Age </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 xml:space="preserve">Middle Age </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 xml:space="preserve">Middle Age </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 xml:space="preserve">Middle Age </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 xml:space="preserve">Middle Age </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 xml:space="preserve">Middle Age </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 xml:space="preserve">Middle Age </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 xml:space="preserve">Middle Age </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 xml:space="preserve">Middle Age </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 xml:space="preserve">Middle Age </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 xml:space="preserve">Middle Age </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 xml:space="preserve">old </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 xml:space="preserve">old </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 xml:space="preserve">Adolescent </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 xml:space="preserve">old </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 xml:space="preserve">Middle Age </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 xml:space="preserve">Middle Age </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 xml:space="preserve">old </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 xml:space="preserve">Middle Age </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 xml:space="preserve">old </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 xml:space="preserve">Middle Age </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 xml:space="preserve">Middle Age </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 xml:space="preserve">Middle Age </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 xml:space="preserve">Middle Age </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 xml:space="preserve">old </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 xml:space="preserve">Middle Age </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 xml:space="preserve">Middle Age </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 xml:space="preserve">Middle Age </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 xml:space="preserve">old </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 xml:space="preserve">Middle Age </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 xml:space="preserve">Middle Age </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 xml:space="preserve">Middle Age </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 xml:space="preserve">Middle Age </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IF(L323&gt;55,"old ",IF(L323&gt;=31,"Middle Age ",IF(L323&lt;31,"Adolescent ","Invalid")))</f>
        <v xml:space="preserve">Middle Age </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 xml:space="preserve">Middle Age </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 xml:space="preserve">Middle Age </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 xml:space="preserve">Middle Age </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 xml:space="preserve">Middle Age </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 xml:space="preserve">Adolescent </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 xml:space="preserve">Middle Age </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 xml:space="preserve">Middle Age </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 xml:space="preserve">old </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 xml:space="preserve">Middle Age </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 xml:space="preserve">Adolescent </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 xml:space="preserve">Middle Age </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 xml:space="preserve">Middle Age </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 xml:space="preserve">Middle Age </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 xml:space="preserve">Middle Age </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 xml:space="preserve">Middle Age </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 xml:space="preserve">Middle Age </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 xml:space="preserve">Middle Age </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 xml:space="preserve">old </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 xml:space="preserve">Adolescent </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 xml:space="preserve">Middle Age </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 xml:space="preserve">Middle Age </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 xml:space="preserve">Middle Age </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 xml:space="preserve">Middle Age </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 xml:space="preserve">Middle Age </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 xml:space="preserve">Middle Age </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 xml:space="preserve">Middle Age </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 xml:space="preserve">Middle Age </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 xml:space="preserve">Adolescent </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 xml:space="preserve">Adolescent </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 xml:space="preserve">Middle Age </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 xml:space="preserve">Middle Age </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 xml:space="preserve">Middle Age </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 xml:space="preserve">Middle Age </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 xml:space="preserve">Middle Age </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 xml:space="preserve">Middle Age </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 xml:space="preserve">Middle Age </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 xml:space="preserve">old </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 xml:space="preserve">Adolescent </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 xml:space="preserve">Middle Age </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 xml:space="preserve">Adolescent </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 xml:space="preserve">Middle Age </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 xml:space="preserve">old </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 xml:space="preserve">Middle Age </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 xml:space="preserve">Middle Age </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 xml:space="preserve">Middle Age </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 xml:space="preserve">Middle Age </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 xml:space="preserve">old </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 xml:space="preserve">Middle Age </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 xml:space="preserve">Middle Age </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 xml:space="preserve">Middle Age </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 xml:space="preserve">Middle Age </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 xml:space="preserve">Adolescent </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 xml:space="preserve">Middle Age </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 xml:space="preserve">old </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 xml:space="preserve">old </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 xml:space="preserve">Middle Age </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 xml:space="preserve">old </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 xml:space="preserve">Middle Age </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 xml:space="preserve">Adolescent </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 xml:space="preserve">old </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 xml:space="preserve">Middle Age </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 xml:space="preserve">Middle Age </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 xml:space="preserve">Adolescent </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IF(L387&gt;55,"old ",IF(L387&gt;=31,"Middle Age ",IF(L387&lt;31,"Adolescent ","Invalid")))</f>
        <v xml:space="preserve">Middle Age </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 xml:space="preserve">Middle Age </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 xml:space="preserve">Middle Age </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 xml:space="preserve">old </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 xml:space="preserve">Middle Age </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 xml:space="preserve">Middle Age </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 xml:space="preserve">Middle Age </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 xml:space="preserve">Middle Age </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 xml:space="preserve">Middle Age </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 xml:space="preserve">Middle Age </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 xml:space="preserve">Middle Age </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 xml:space="preserve">Middle Age </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 xml:space="preserve">old </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 xml:space="preserve">Middle Age </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 xml:space="preserve">Middle Age </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 xml:space="preserve">Middle Age </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 xml:space="preserve">old </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 xml:space="preserve">Middle Age </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 xml:space="preserve">Middle Age </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 xml:space="preserve">Middle Age </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 xml:space="preserve">Middle Age </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 xml:space="preserve">Middle Age </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 xml:space="preserve">Middle Age </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 xml:space="preserve">Middle Age </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 xml:space="preserve">Middle Age </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 xml:space="preserve">Middle Age </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 xml:space="preserve">Middle Age </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 xml:space="preserve">Middle Age </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 xml:space="preserve">old </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 xml:space="preserve">Middle Age </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 xml:space="preserve">Middle Age </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 xml:space="preserve">Middle Age </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 xml:space="preserve">old </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 xml:space="preserve">Middle Age </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 xml:space="preserve">Middle Age </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 xml:space="preserve">old </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 xml:space="preserve">Middle Age </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 xml:space="preserve">Middle Age </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 xml:space="preserve">Middle Age </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 xml:space="preserve">Middle Age </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 xml:space="preserve">old </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 xml:space="preserve">Adolescent </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 xml:space="preserve">Middle Age </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 xml:space="preserve">Middle Age </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 xml:space="preserve">Middle Age </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 xml:space="preserve">Middle Age </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 xml:space="preserve">Adolescent </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 xml:space="preserve">Middle Age </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 xml:space="preserve">Adolescent </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 xml:space="preserve">Middle Age </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 xml:space="preserve">old </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 xml:space="preserve">Middle Age </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 xml:space="preserve">Adolescent </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 xml:space="preserve">Middle Age </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 xml:space="preserve">Middle Age </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 xml:space="preserve">Middle Age </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 xml:space="preserve">Middle Age </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 xml:space="preserve">Middle Age </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 xml:space="preserve">Middle Age </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 xml:space="preserve">Middle Age </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 xml:space="preserve">Middle Age </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 xml:space="preserve">Middle Age </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 xml:space="preserve">Middle Age </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 xml:space="preserve">Middle Age </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IF(L451&gt;55,"old ",IF(L451&gt;=31,"Middle Age ",IF(L451&lt;31,"Adolescent ","Invalid")))</f>
        <v xml:space="preserve">Middle Age </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 xml:space="preserve">Middle Age </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 xml:space="preserve">Middle Age </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 xml:space="preserve">old </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 xml:space="preserve">Middle Age </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 xml:space="preserve">Middle Age </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 xml:space="preserve">Middle Age </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 xml:space="preserve">Middle Age </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 xml:space="preserve">old </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 xml:space="preserve">Middle Age </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 xml:space="preserve">Middle Age </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 xml:space="preserve">Middle Age </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 xml:space="preserve">Middle Age </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 xml:space="preserve">Middle Age </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 xml:space="preserve">Middle Age </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 xml:space="preserve">Middle Age </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 xml:space="preserve">old </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 xml:space="preserve">Middle Age </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 xml:space="preserve">Middle Age </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 xml:space="preserve">Middle Age </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 xml:space="preserve">old </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 xml:space="preserve">Adolescent </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 xml:space="preserve">Middle Age </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 xml:space="preserve">Middle Age </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 xml:space="preserve">Middle Age </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 xml:space="preserve">Middle Age </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 xml:space="preserve">old </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 xml:space="preserve">Middle Age </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 xml:space="preserve">Middle Age </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 xml:space="preserve">Middle Age </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 xml:space="preserve">Middle Age </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 xml:space="preserve">Middle Age </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 xml:space="preserve">Middle Age </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 xml:space="preserve">Middle Age </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 xml:space="preserve">old </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 xml:space="preserve">Middle Age </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 xml:space="preserve">Middle Age </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 xml:space="preserve">old </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 xml:space="preserve">Middle Age </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 xml:space="preserve">Middle Age </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 xml:space="preserve">Middle Age </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 xml:space="preserve">Middle Age </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 xml:space="preserve">Middle Age </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 xml:space="preserve">Middle Age </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 xml:space="preserve">old </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 xml:space="preserve">Middle Age </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 xml:space="preserve">old </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 xml:space="preserve">Middle Age </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 xml:space="preserve">Middle Age </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 xml:space="preserve">Middle Age </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 xml:space="preserve">Middle Age </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 xml:space="preserve">Middle Age </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 xml:space="preserve">Middle Age </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 xml:space="preserve">Adolescent </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 xml:space="preserve">Middle Age </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 xml:space="preserve">Middle Age </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 xml:space="preserve">Middle Age </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 xml:space="preserve">Middle Age </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 xml:space="preserve">Middle Age </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 xml:space="preserve">Adolescent </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 xml:space="preserve">Middle Age </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 xml:space="preserve">Middle Age </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 xml:space="preserve">old </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 xml:space="preserve">Middle Age </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IF(L515&gt;55,"old ",IF(L515&gt;=31,"Middle Age ",IF(L515&lt;31,"Adolescent ","Invalid")))</f>
        <v xml:space="preserve">old </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 xml:space="preserve">Middle Age </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 xml:space="preserve">Middle Age </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 xml:space="preserve">Middle Age </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 xml:space="preserve">Middle Age </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 xml:space="preserve">Middle Age </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 xml:space="preserve">old </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 xml:space="preserve">Middle Age </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 xml:space="preserve">old </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 xml:space="preserve">Middle Age </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 xml:space="preserve">Middle Age </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 xml:space="preserve">old </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 xml:space="preserve">old </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 xml:space="preserve">Middle Age </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 xml:space="preserve">Middle Age </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 xml:space="preserve">Adolescent </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 xml:space="preserve">old </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 xml:space="preserve">Adolescent </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 xml:space="preserve">Adolescent </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 xml:space="preserve">Middle Age </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 xml:space="preserve">old </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 xml:space="preserve">old </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 xml:space="preserve">Middle Age </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 xml:space="preserve">Middle Age </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 xml:space="preserve">Middle Age </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 xml:space="preserve">Middle Age </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 xml:space="preserve">Middle Age </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 xml:space="preserve">Middle Age </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 xml:space="preserve">Middle Age </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 xml:space="preserve">Adolescent </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 xml:space="preserve">Middle Age </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 xml:space="preserve">Middle Age </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 xml:space="preserve">Adolescent </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 xml:space="preserve">Middle Age </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 xml:space="preserve">Middle Age </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 xml:space="preserve">Middle Age </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 xml:space="preserve">Middle Age </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 xml:space="preserve">Middle Age </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 xml:space="preserve">old </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 xml:space="preserve">Middle Age </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 xml:space="preserve">old </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 xml:space="preserve">Middle Age </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 xml:space="preserve">Middle Age </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 xml:space="preserve">Middle Age </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 xml:space="preserve">Middle Age </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 xml:space="preserve">Middle Age </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 xml:space="preserve">old </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 xml:space="preserve">Middle Age </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 xml:space="preserve">Middle Age </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 xml:space="preserve">Middle Age </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 xml:space="preserve">Adolescent </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 xml:space="preserve">Adolescent </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 xml:space="preserve">Middle Age </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 xml:space="preserve">old </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 xml:space="preserve">Middle Age </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 xml:space="preserve">Middle Age </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 xml:space="preserve">old </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 xml:space="preserve">Middle Age </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 xml:space="preserve">Middle Age </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 xml:space="preserve">Adolescent </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 xml:space="preserve">old </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 xml:space="preserve">Middle Age </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 xml:space="preserve">old </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 xml:space="preserve">Middle Age </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IF(L579&gt;55,"old ",IF(L579&gt;=31,"Middle Age ",IF(L579&lt;31,"Adolescent ","Invalid")))</f>
        <v xml:space="preserve">Middle Age </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 xml:space="preserve">old </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 xml:space="preserve">Middle Age </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 xml:space="preserve">old </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 xml:space="preserve">Adolescent </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 xml:space="preserve">Middle Age </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 xml:space="preserve">old </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 xml:space="preserve">Middle Age </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 xml:space="preserve">Middle Age </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 xml:space="preserve">Middle Age </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 xml:space="preserve">Middle Age </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 xml:space="preserve">Middle Age </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 xml:space="preserve">old </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 xml:space="preserve">Middle Age </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 xml:space="preserve">old </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 xml:space="preserve">Middle Age </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 xml:space="preserve">Middle Age </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 xml:space="preserve">old </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 xml:space="preserve">old </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 xml:space="preserve">Middle Age </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 xml:space="preserve">old </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 xml:space="preserve">Middle Age </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 xml:space="preserve">old </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 xml:space="preserve">Middle Age </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 xml:space="preserve">Middle Age </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 xml:space="preserve">Middle Age </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 xml:space="preserve">Middle Age </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 xml:space="preserve">Adolescent </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 xml:space="preserve">Middle Age </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 xml:space="preserve">Middle Age </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 xml:space="preserve">Middle Age </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 xml:space="preserve">Middle Age </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 xml:space="preserve">Middle Age </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 xml:space="preserve">Middle Age </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 xml:space="preserve">Middle Age </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 xml:space="preserve">Adolescent </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 xml:space="preserve">Middle Age </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 xml:space="preserve">Middle Age </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 xml:space="preserve">Middle Age </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 xml:space="preserve">Middle Age </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 xml:space="preserve">Middle Age </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 xml:space="preserve">Middle Age </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 xml:space="preserve">Adolescent </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 xml:space="preserve">Middle Age </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 xml:space="preserve">old </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 xml:space="preserve">Middle Age </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 xml:space="preserve">Middle Age </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 xml:space="preserve">Adolescent </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 xml:space="preserve">old </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 xml:space="preserve">Adolescent </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 xml:space="preserve">old </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 xml:space="preserve">Middle Age </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 xml:space="preserve">Middle Age </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 xml:space="preserve">Adolescent </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 xml:space="preserve">Middle Age </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 xml:space="preserve">Middle Age </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 xml:space="preserve">Middle Age </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 xml:space="preserve">old </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 xml:space="preserve">Middle Age </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 xml:space="preserve">Middle Age </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 xml:space="preserve">Adolescent </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 xml:space="preserve">old </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 xml:space="preserve">old </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 xml:space="preserve">old </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IF(L643&gt;55,"old ",IF(L643&gt;=31,"Middle Age ",IF(L643&lt;31,"Adolescent ","Invalid")))</f>
        <v xml:space="preserve">old </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 xml:space="preserve">Middle Age </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 xml:space="preserve">Middle Age </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 xml:space="preserve">Middle Age </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 xml:space="preserve">Middle Age </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 xml:space="preserve">Middle Age </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 xml:space="preserve">Middle Age </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 xml:space="preserve">old </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 xml:space="preserve">Middle Age </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 xml:space="preserve">old </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 xml:space="preserve">Middle Age </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 xml:space="preserve">Middle Age </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 xml:space="preserve">Middle Age </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 xml:space="preserve">Middle Age </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 xml:space="preserve">Middle Age </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 xml:space="preserve">Middle Age </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 xml:space="preserve">Middle Age </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 xml:space="preserve">Middle Age </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 xml:space="preserve">old </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 xml:space="preserve">Middle Age </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 xml:space="preserve">Adolescent </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 xml:space="preserve">Middle Age </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 xml:space="preserve">Middle Age </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 xml:space="preserve">Middle Age </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 xml:space="preserve">Middle Age </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 xml:space="preserve">Middle Age </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 xml:space="preserve">old </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 xml:space="preserve">Middle Age </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 xml:space="preserve">Middle Age </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 xml:space="preserve">old </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 xml:space="preserve">Middle Age </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 xml:space="preserve">Adolescent </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 xml:space="preserve">Middle Age </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 xml:space="preserve">Middle Age </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 xml:space="preserve">Middle Age </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 xml:space="preserve">Middle Age </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 xml:space="preserve">Middle Age </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 xml:space="preserve">old </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 xml:space="preserve">old </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 xml:space="preserve">Middle Age </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 xml:space="preserve">Middle Age </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 xml:space="preserve">Middle Age </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 xml:space="preserve">Middle Age </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 xml:space="preserve">Middle Age </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 xml:space="preserve">Middle Age </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 xml:space="preserve">Middle Age </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 xml:space="preserve">Adolescent </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 xml:space="preserve">Adolescent </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 xml:space="preserve">Adolescent </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 xml:space="preserve">Middle Age </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 xml:space="preserve">Middle Age </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 xml:space="preserve">Middle Age </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 xml:space="preserve">Middle Age </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 xml:space="preserve">Middle Age </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 xml:space="preserve">Middle Age </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 xml:space="preserve">Adolescent </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 xml:space="preserve">Adolescent </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 xml:space="preserve">Middle Age </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 xml:space="preserve">Middle Age </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 xml:space="preserve">old </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 xml:space="preserve">Adolescent </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 xml:space="preserve">Middle Age </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 xml:space="preserve">Middle Age </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 xml:space="preserve">Middle Age </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IF(L707&gt;55,"old ",IF(L707&gt;=31,"Middle Age ",IF(L707&lt;31,"Adolescent ","Invalid")))</f>
        <v xml:space="preserve">old </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 xml:space="preserve">Middle Age </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 xml:space="preserve">Middle Age </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 xml:space="preserve">old </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 xml:space="preserve">old </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 xml:space="preserve">Middle Age </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 xml:space="preserve">old </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 xml:space="preserve">old </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 xml:space="preserve">Middle Age </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 xml:space="preserve">Adolescent </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 xml:space="preserve">Middle Age </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 xml:space="preserve">Middle Age </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 xml:space="preserve">Middle Age </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 xml:space="preserve">Middle Age </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 xml:space="preserve">Middle Age </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 xml:space="preserve">old </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 xml:space="preserve">Middle Age </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 xml:space="preserve">Middle Age </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 xml:space="preserve">Middle Age </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 xml:space="preserve">Middle Age </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 xml:space="preserve">Middle Age </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 xml:space="preserve">Middle Age </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 xml:space="preserve">Middle Age </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 xml:space="preserve">Adolescent </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 xml:space="preserve">Middle Age </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 xml:space="preserve">Middle Age </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 xml:space="preserve">Middle Age </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 xml:space="preserve">Middle Age </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 xml:space="preserve">Middle Age </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 xml:space="preserve">Middle Age </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 xml:space="preserve">Adolescent </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 xml:space="preserve">Middle Age </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 xml:space="preserve">Middle Age </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 xml:space="preserve">Middle Age </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 xml:space="preserve">Middle Age </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 xml:space="preserve">Adolescent </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 xml:space="preserve">Middle Age </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 xml:space="preserve">Adolescent </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 xml:space="preserve">Middle Age </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 xml:space="preserve">old </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 xml:space="preserve">Middle Age </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 xml:space="preserve">old </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 xml:space="preserve">Middle Age </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 xml:space="preserve">old </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 xml:space="preserve">old </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 xml:space="preserve">Middle Age </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 xml:space="preserve">Middle Age </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 xml:space="preserve">Middle Age </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 xml:space="preserve">Adolescent </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 xml:space="preserve">old </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 xml:space="preserve">Middle Age </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 xml:space="preserve">Middle Age </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 xml:space="preserve">Middle Age </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 xml:space="preserve">Middle Age </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 xml:space="preserve">Middle Age </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 xml:space="preserve">Middle Age </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 xml:space="preserve">old </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 xml:space="preserve">Middle Age </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 xml:space="preserve">Middle Age </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 xml:space="preserve">Adolescent </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 xml:space="preserve">Middle Age </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 xml:space="preserve">Middle Age </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 xml:space="preserve">old </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 xml:space="preserve">Middle Age </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IF(L771&gt;55,"old ",IF(L771&gt;=31,"Middle Age ",IF(L771&lt;31,"Adolescent ","Invalid")))</f>
        <v xml:space="preserve">Middle Age </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 xml:space="preserve">Middle Age </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 xml:space="preserve">Middle Age </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 xml:space="preserve">Middle Age </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 xml:space="preserve">Middle Age </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 xml:space="preserve">Middle Age </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 xml:space="preserve">Middle Age </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 xml:space="preserve">old </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 xml:space="preserve">Adolescent </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 xml:space="preserve">Middle Age </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 xml:space="preserve">Middle Age </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 xml:space="preserve">Middle Age </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 xml:space="preserve">Middle Age </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 xml:space="preserve">Middle Age </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 xml:space="preserve">Middle Age </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 xml:space="preserve">Middle Age </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 xml:space="preserve">Adolescent </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 xml:space="preserve">Middle Age </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 xml:space="preserve">old </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 xml:space="preserve">Middle Age </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 xml:space="preserve">Middle Age </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 xml:space="preserve">Middle Age </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 xml:space="preserve">Adolescent </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 xml:space="preserve">Middle Age </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 xml:space="preserve">Middle Age </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 xml:space="preserve">old </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 xml:space="preserve">Middle Age </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 xml:space="preserve">old </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 xml:space="preserve">Adolescent </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 xml:space="preserve">Adolescent </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 xml:space="preserve">Middle Age </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 xml:space="preserve">Middle Age </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 xml:space="preserve">old </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 xml:space="preserve">Adolescent </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 xml:space="preserve">Adolescent </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 xml:space="preserve">Adolescent </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 xml:space="preserve">Middle Age </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 xml:space="preserve">Middle Age </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 xml:space="preserve">Middle Age </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 xml:space="preserve">Middle Age </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 xml:space="preserve">old </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 xml:space="preserve">Middle Age </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 xml:space="preserve">Middle Age </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 xml:space="preserve">old </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 xml:space="preserve">Middle Age </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 xml:space="preserve">old </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 xml:space="preserve">Adolescent </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 xml:space="preserve">Middle Age </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 xml:space="preserve">Middle Age </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 xml:space="preserve">Adolescent </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 xml:space="preserve">Adolescent </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 xml:space="preserve">Middle Age </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 xml:space="preserve">Middle Age </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 xml:space="preserve">Middle Age </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 xml:space="preserve">Middle Age </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 xml:space="preserve">Middle Age </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 xml:space="preserve">Middle Age </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 xml:space="preserve">Middle Age </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 xml:space="preserve">Middle Age </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 xml:space="preserve">Adolescent </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 xml:space="preserve">old </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 xml:space="preserve">Middle Age </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 xml:space="preserve">Middle Age </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 xml:space="preserve">Middle Age </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IF(L835&gt;55,"old ",IF(L835&gt;=31,"Middle Age ",IF(L835&lt;31,"Adolescent ","Invalid")))</f>
        <v xml:space="preserve">Middle Age </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 xml:space="preserve">Middle Age </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 xml:space="preserve">Middle Age </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 xml:space="preserve">Adolescent </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 xml:space="preserve">Middle Age </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 xml:space="preserve">Middle Age </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 xml:space="preserve">Middle Age </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 xml:space="preserve">Middle Age </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 xml:space="preserve">old </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 xml:space="preserve">Middle Age </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 xml:space="preserve">Middle Age </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 xml:space="preserve">old </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 xml:space="preserve">Middle Age </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 xml:space="preserve">old </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 xml:space="preserve">Adolescent </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 xml:space="preserve">Middle Age </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 xml:space="preserve">old </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 xml:space="preserve">old </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 xml:space="preserve">Middle Age </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 xml:space="preserve">Middle Age </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 xml:space="preserve">Middle Age </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 xml:space="preserve">Middle Age </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 xml:space="preserve">Middle Age </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 xml:space="preserve">Adolescent </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 xml:space="preserve">Middle Age </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 xml:space="preserve">Middle Age </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 xml:space="preserve">Middle Age </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 xml:space="preserve">Middle Age </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 xml:space="preserve">Middle Age </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 xml:space="preserve">Middle Age </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 xml:space="preserve">Middle Age </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 xml:space="preserve">Middle Age </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 xml:space="preserve">Middle Age </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 xml:space="preserve">Middle Age </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 xml:space="preserve">Middle Age </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 xml:space="preserve">old </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 xml:space="preserve">Middle Age </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 xml:space="preserve">Middle Age </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 xml:space="preserve">Middle Age </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 xml:space="preserve">Middle Age </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 xml:space="preserve">Middle Age </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 xml:space="preserve">Middle Age </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 xml:space="preserve">Middle Age </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 xml:space="preserve">Adolescent </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 xml:space="preserve">old </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 xml:space="preserve">old </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 xml:space="preserve">Middle Age </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 xml:space="preserve">Middle Age </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 xml:space="preserve">old </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 xml:space="preserve">Middle Age </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 xml:space="preserve">Middle Age </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 xml:space="preserve">old </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 xml:space="preserve">Middle Age </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 xml:space="preserve">Middle Age </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 xml:space="preserve">Middle Age </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 xml:space="preserve">Middle Age </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 xml:space="preserve">Middle Age </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 xml:space="preserve">Middle Age </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 xml:space="preserve">old </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 xml:space="preserve">Middle Age </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 xml:space="preserve">Middle Age </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 xml:space="preserve">Middle Age </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 xml:space="preserve">old </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 xml:space="preserve">Middle Age </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IF(L899&gt;55,"old ",IF(L899&gt;=31,"Middle Age ",IF(L899&lt;31,"Adolescent ","Invalid")))</f>
        <v xml:space="preserve">Adolescent </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 xml:space="preserve">old </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 xml:space="preserve">Middle Age </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 xml:space="preserve">Middle Age </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 xml:space="preserve">Middle Age </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 xml:space="preserve">Middle Age </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 xml:space="preserve">old </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 xml:space="preserve">Middle Age </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 xml:space="preserve">Middle Age </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 xml:space="preserve">Middle Age </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 xml:space="preserve">old </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 xml:space="preserve">Middle Age </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 xml:space="preserve">Middle Age </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 xml:space="preserve">Middle Age </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 xml:space="preserve">old </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 xml:space="preserve">Middle Age </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 xml:space="preserve">Middle Age </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 xml:space="preserve">Middle Age </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 xml:space="preserve">old </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 xml:space="preserve">Middle Age </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 xml:space="preserve">Middle Age </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 xml:space="preserve">Middle Age </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 xml:space="preserve">old </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 xml:space="preserve">Middle Age </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 xml:space="preserve">Middle Age </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 xml:space="preserve">Middle Age </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 xml:space="preserve">Middle Age </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 xml:space="preserve">Middle Age </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 xml:space="preserve">Middle Age </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 xml:space="preserve">old </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 xml:space="preserve">Middle Age </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 xml:space="preserve">Middle Age </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 xml:space="preserve">Middle Age </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 xml:space="preserve">Middle Age </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 xml:space="preserve">Middle Age </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 xml:space="preserve">Adolescent </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 xml:space="preserve">Adolescent </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 xml:space="preserve">old </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 xml:space="preserve">Middle Age </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 xml:space="preserve">old </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 xml:space="preserve">Middle Age </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 xml:space="preserve">Adolescent </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 xml:space="preserve">Middle Age </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 xml:space="preserve">Middle Age </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 xml:space="preserve">Middle Age </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 xml:space="preserve">Middle Age </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 xml:space="preserve">Middle Age </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 xml:space="preserve">Middle Age </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 xml:space="preserve">Middle Age </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 xml:space="preserve">old </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 xml:space="preserve">Middle Age </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 xml:space="preserve">Middle Age </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 xml:space="preserve">Middle Age </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 xml:space="preserve">Middle Age </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 xml:space="preserve">Middle Age </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 xml:space="preserve">old </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 xml:space="preserve">Adolescent </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 xml:space="preserve">Middle Age </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 xml:space="preserve">Middle Age </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 xml:space="preserve">Middle Age </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 xml:space="preserve">Adolescent </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 xml:space="preserve">Middle Age </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 xml:space="preserve">Middle Age </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 xml:space="preserve">Middle Age </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26" si="15">IF(L963&gt;55,"old ",IF(L963&gt;=31,"Middle Age ",IF(L963&lt;31,"Adolescent ","Invalid")))</f>
        <v xml:space="preserve">old </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 xml:space="preserve">Middle Age </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 xml:space="preserve">old </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 xml:space="preserve">old </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 xml:space="preserve">Middle Age </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 xml:space="preserve">Middle Age </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 xml:space="preserve">old </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 xml:space="preserve">Adolescent </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 xml:space="preserve">Middle Age </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 xml:space="preserve">Middle Age </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 xml:space="preserve">Middle Age </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 xml:space="preserve">Middle Age </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 xml:space="preserve">Middle Age </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 xml:space="preserve">Middle Age </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 xml:space="preserve">Middle Age </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 xml:space="preserve">old </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 xml:space="preserve">old </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 xml:space="preserve">Middle Age </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 xml:space="preserve">Middle Age </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 xml:space="preserve">Middle Age </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 xml:space="preserve">Middle Age </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 xml:space="preserve">Middle Age </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 xml:space="preserve">Middle Age </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 xml:space="preserve">Middle Age </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 xml:space="preserve">Middle Age </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 xml:space="preserve">old </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 xml:space="preserve">old </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 xml:space="preserve">old </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 xml:space="preserve">Middle Age </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 xml:space="preserve">Adolescent </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 xml:space="preserve">Middle Age </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 xml:space="preserve">Middle Age </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 xml:space="preserve">Middle Age </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 xml:space="preserve">Middle Age </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 xml:space="preserve">Middle Age </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 xml:space="preserve">Middle Age </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 xml:space="preserve">Middle Age </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 xml:space="preserve">Middle Age </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 xml:space="preserve">Middle Age </v>
      </c>
      <c r="N1001" t="s">
        <v>15</v>
      </c>
    </row>
    <row r="1002" spans="1:14" x14ac:dyDescent="0.25">
      <c r="A1002">
        <v>13507</v>
      </c>
      <c r="B1002" t="s">
        <v>36</v>
      </c>
      <c r="C1002" t="s">
        <v>38</v>
      </c>
      <c r="D1002" s="3">
        <v>10000</v>
      </c>
      <c r="E1002">
        <v>2</v>
      </c>
      <c r="F1002" t="s">
        <v>19</v>
      </c>
      <c r="G1002" t="s">
        <v>25</v>
      </c>
      <c r="H1002" t="s">
        <v>15</v>
      </c>
      <c r="I1002">
        <v>0</v>
      </c>
      <c r="J1002" t="s">
        <v>26</v>
      </c>
      <c r="K1002" t="s">
        <v>17</v>
      </c>
      <c r="L1002">
        <v>50</v>
      </c>
      <c r="M1002" t="str">
        <f t="shared" si="15"/>
        <v xml:space="preserve">Middle Age </v>
      </c>
      <c r="N1002" t="s">
        <v>18</v>
      </c>
    </row>
    <row r="1003" spans="1:14" x14ac:dyDescent="0.25">
      <c r="A1003">
        <v>19280</v>
      </c>
      <c r="B1003" t="s">
        <v>36</v>
      </c>
      <c r="C1003" t="s">
        <v>39</v>
      </c>
      <c r="D1003" s="3">
        <v>120000</v>
      </c>
      <c r="E1003">
        <v>2</v>
      </c>
      <c r="F1003" t="s">
        <v>19</v>
      </c>
      <c r="G1003" t="s">
        <v>25</v>
      </c>
      <c r="H1003" t="s">
        <v>15</v>
      </c>
      <c r="I1003">
        <v>1</v>
      </c>
      <c r="J1003" t="s">
        <v>16</v>
      </c>
      <c r="K1003" t="s">
        <v>17</v>
      </c>
      <c r="L1003">
        <v>40</v>
      </c>
      <c r="M1003" t="str">
        <f t="shared" si="15"/>
        <v xml:space="preserve">Middle Age </v>
      </c>
      <c r="N1003" t="s">
        <v>15</v>
      </c>
    </row>
    <row r="1004" spans="1:14" x14ac:dyDescent="0.25">
      <c r="A1004">
        <v>22173</v>
      </c>
      <c r="B1004" t="s">
        <v>36</v>
      </c>
      <c r="C1004" t="s">
        <v>38</v>
      </c>
      <c r="D1004" s="3">
        <v>30000</v>
      </c>
      <c r="E1004">
        <v>3</v>
      </c>
      <c r="F1004" t="s">
        <v>27</v>
      </c>
      <c r="G1004" t="s">
        <v>14</v>
      </c>
      <c r="H1004" t="s">
        <v>18</v>
      </c>
      <c r="I1004">
        <v>2</v>
      </c>
      <c r="J1004" t="s">
        <v>26</v>
      </c>
      <c r="K1004" t="s">
        <v>24</v>
      </c>
      <c r="L1004">
        <v>54</v>
      </c>
      <c r="M1004" t="str">
        <f t="shared" si="15"/>
        <v xml:space="preserve">Middle Age </v>
      </c>
      <c r="N1004" t="s">
        <v>15</v>
      </c>
    </row>
    <row r="1005" spans="1:14" x14ac:dyDescent="0.25">
      <c r="A1005">
        <v>12697</v>
      </c>
      <c r="B1005" t="s">
        <v>37</v>
      </c>
      <c r="C1005" t="s">
        <v>38</v>
      </c>
      <c r="D1005" s="3">
        <v>90000</v>
      </c>
      <c r="E1005">
        <v>0</v>
      </c>
      <c r="F1005" t="s">
        <v>13</v>
      </c>
      <c r="G1005" t="s">
        <v>21</v>
      </c>
      <c r="H1005" t="s">
        <v>18</v>
      </c>
      <c r="I1005">
        <v>4</v>
      </c>
      <c r="J1005" t="s">
        <v>46</v>
      </c>
      <c r="K1005" t="s">
        <v>24</v>
      </c>
      <c r="L1005">
        <v>36</v>
      </c>
      <c r="M1005" t="str">
        <f t="shared" si="15"/>
        <v xml:space="preserve">Middle Age </v>
      </c>
      <c r="N1005" t="s">
        <v>18</v>
      </c>
    </row>
    <row r="1006" spans="1:14" x14ac:dyDescent="0.25">
      <c r="A1006">
        <v>11434</v>
      </c>
      <c r="B1006" t="s">
        <v>36</v>
      </c>
      <c r="C1006" t="s">
        <v>39</v>
      </c>
      <c r="D1006" s="3">
        <v>170000</v>
      </c>
      <c r="E1006">
        <v>5</v>
      </c>
      <c r="F1006" t="s">
        <v>19</v>
      </c>
      <c r="G1006" t="s">
        <v>21</v>
      </c>
      <c r="H1006" t="s">
        <v>15</v>
      </c>
      <c r="I1006">
        <v>0</v>
      </c>
      <c r="J1006" t="s">
        <v>16</v>
      </c>
      <c r="K1006" t="s">
        <v>17</v>
      </c>
      <c r="L1006">
        <v>55</v>
      </c>
      <c r="M1006" t="str">
        <f t="shared" si="15"/>
        <v xml:space="preserve">Middle Age </v>
      </c>
      <c r="N1006" t="s">
        <v>18</v>
      </c>
    </row>
    <row r="1007" spans="1:14" x14ac:dyDescent="0.25">
      <c r="A1007">
        <v>25323</v>
      </c>
      <c r="B1007" t="s">
        <v>36</v>
      </c>
      <c r="C1007" t="s">
        <v>39</v>
      </c>
      <c r="D1007" s="3">
        <v>40000</v>
      </c>
      <c r="E1007">
        <v>2</v>
      </c>
      <c r="F1007" t="s">
        <v>19</v>
      </c>
      <c r="G1007" t="s">
        <v>20</v>
      </c>
      <c r="H1007" t="s">
        <v>15</v>
      </c>
      <c r="I1007">
        <v>1</v>
      </c>
      <c r="J1007" t="s">
        <v>26</v>
      </c>
      <c r="K1007" t="s">
        <v>17</v>
      </c>
      <c r="L1007">
        <v>35</v>
      </c>
      <c r="M1007" t="str">
        <f t="shared" si="15"/>
        <v xml:space="preserve">Middle Age </v>
      </c>
      <c r="N1007" t="s">
        <v>15</v>
      </c>
    </row>
    <row r="1008" spans="1:14" x14ac:dyDescent="0.25">
      <c r="A1008">
        <v>23542</v>
      </c>
      <c r="B1008" t="s">
        <v>37</v>
      </c>
      <c r="C1008" t="s">
        <v>39</v>
      </c>
      <c r="D1008" s="3">
        <v>60000</v>
      </c>
      <c r="E1008">
        <v>1</v>
      </c>
      <c r="F1008" t="s">
        <v>19</v>
      </c>
      <c r="G1008" t="s">
        <v>14</v>
      </c>
      <c r="H1008" t="s">
        <v>18</v>
      </c>
      <c r="I1008">
        <v>1</v>
      </c>
      <c r="J1008" t="s">
        <v>16</v>
      </c>
      <c r="K1008" t="s">
        <v>24</v>
      </c>
      <c r="L1008">
        <v>45</v>
      </c>
      <c r="M1008" t="str">
        <f t="shared" si="15"/>
        <v xml:space="preserve">Middle Age </v>
      </c>
      <c r="N1008" t="s">
        <v>15</v>
      </c>
    </row>
    <row r="1009" spans="1:14" x14ac:dyDescent="0.25">
      <c r="A1009">
        <v>20870</v>
      </c>
      <c r="B1009" t="s">
        <v>37</v>
      </c>
      <c r="C1009" t="s">
        <v>38</v>
      </c>
      <c r="D1009" s="3">
        <v>10000</v>
      </c>
      <c r="E1009">
        <v>2</v>
      </c>
      <c r="F1009" t="s">
        <v>27</v>
      </c>
      <c r="G1009" t="s">
        <v>25</v>
      </c>
      <c r="H1009" t="s">
        <v>15</v>
      </c>
      <c r="I1009">
        <v>1</v>
      </c>
      <c r="J1009" t="s">
        <v>16</v>
      </c>
      <c r="K1009" t="s">
        <v>17</v>
      </c>
      <c r="L1009">
        <v>38</v>
      </c>
      <c r="M1009" t="str">
        <f t="shared" si="15"/>
        <v xml:space="preserve">Middle Age </v>
      </c>
      <c r="N1009" t="s">
        <v>15</v>
      </c>
    </row>
    <row r="1010" spans="1:14" x14ac:dyDescent="0.25">
      <c r="A1010">
        <v>23316</v>
      </c>
      <c r="B1010" t="s">
        <v>37</v>
      </c>
      <c r="C1010" t="s">
        <v>39</v>
      </c>
      <c r="D1010" s="3">
        <v>30000</v>
      </c>
      <c r="E1010">
        <v>3</v>
      </c>
      <c r="F1010" t="s">
        <v>19</v>
      </c>
      <c r="G1010" t="s">
        <v>20</v>
      </c>
      <c r="H1010" t="s">
        <v>18</v>
      </c>
      <c r="I1010">
        <v>2</v>
      </c>
      <c r="J1010" t="s">
        <v>26</v>
      </c>
      <c r="K1010" t="s">
        <v>24</v>
      </c>
      <c r="L1010">
        <v>59</v>
      </c>
      <c r="M1010" t="str">
        <f t="shared" si="15"/>
        <v xml:space="preserve">old </v>
      </c>
      <c r="N1010" t="s">
        <v>15</v>
      </c>
    </row>
    <row r="1011" spans="1:14" x14ac:dyDescent="0.25">
      <c r="A1011">
        <v>12610</v>
      </c>
      <c r="B1011" t="s">
        <v>36</v>
      </c>
      <c r="C1011" t="s">
        <v>38</v>
      </c>
      <c r="D1011" s="3">
        <v>30000</v>
      </c>
      <c r="E1011">
        <v>1</v>
      </c>
      <c r="F1011" t="s">
        <v>13</v>
      </c>
      <c r="G1011" t="s">
        <v>20</v>
      </c>
      <c r="H1011" t="s">
        <v>15</v>
      </c>
      <c r="I1011">
        <v>0</v>
      </c>
      <c r="J1011" t="s">
        <v>16</v>
      </c>
      <c r="K1011" t="s">
        <v>17</v>
      </c>
      <c r="L1011">
        <v>47</v>
      </c>
      <c r="M1011" t="str">
        <f t="shared" si="15"/>
        <v xml:space="preserve">Middle Age </v>
      </c>
      <c r="N1011" t="s">
        <v>18</v>
      </c>
    </row>
    <row r="1012" spans="1:14" x14ac:dyDescent="0.25">
      <c r="A1012">
        <v>27183</v>
      </c>
      <c r="B1012" t="s">
        <v>37</v>
      </c>
      <c r="C1012" t="s">
        <v>39</v>
      </c>
      <c r="D1012" s="3">
        <v>40000</v>
      </c>
      <c r="E1012">
        <v>2</v>
      </c>
      <c r="F1012" t="s">
        <v>19</v>
      </c>
      <c r="G1012" t="s">
        <v>20</v>
      </c>
      <c r="H1012" t="s">
        <v>15</v>
      </c>
      <c r="I1012">
        <v>1</v>
      </c>
      <c r="J1012" t="s">
        <v>26</v>
      </c>
      <c r="K1012" t="s">
        <v>17</v>
      </c>
      <c r="L1012">
        <v>35</v>
      </c>
      <c r="M1012" t="str">
        <f t="shared" si="15"/>
        <v xml:space="preserve">Middle Age </v>
      </c>
      <c r="N1012" t="s">
        <v>15</v>
      </c>
    </row>
    <row r="1013" spans="1:14" x14ac:dyDescent="0.25">
      <c r="A1013">
        <v>25940</v>
      </c>
      <c r="B1013" t="s">
        <v>37</v>
      </c>
      <c r="C1013" t="s">
        <v>39</v>
      </c>
      <c r="D1013" s="3">
        <v>20000</v>
      </c>
      <c r="E1013">
        <v>2</v>
      </c>
      <c r="F1013" t="s">
        <v>29</v>
      </c>
      <c r="G1013" t="s">
        <v>20</v>
      </c>
      <c r="H1013" t="s">
        <v>15</v>
      </c>
      <c r="I1013">
        <v>2</v>
      </c>
      <c r="J1013" t="s">
        <v>23</v>
      </c>
      <c r="K1013" t="s">
        <v>24</v>
      </c>
      <c r="L1013">
        <v>55</v>
      </c>
      <c r="M1013" t="str">
        <f t="shared" si="15"/>
        <v xml:space="preserve">Middle Age </v>
      </c>
      <c r="N1013" t="s">
        <v>15</v>
      </c>
    </row>
    <row r="1014" spans="1:14" x14ac:dyDescent="0.25">
      <c r="A1014">
        <v>25598</v>
      </c>
      <c r="B1014" t="s">
        <v>36</v>
      </c>
      <c r="C1014" t="s">
        <v>38</v>
      </c>
      <c r="D1014" s="3">
        <v>40000</v>
      </c>
      <c r="E1014">
        <v>0</v>
      </c>
      <c r="F1014" t="s">
        <v>31</v>
      </c>
      <c r="G1014" t="s">
        <v>20</v>
      </c>
      <c r="H1014" t="s">
        <v>15</v>
      </c>
      <c r="I1014">
        <v>0</v>
      </c>
      <c r="J1014" t="s">
        <v>16</v>
      </c>
      <c r="K1014" t="s">
        <v>17</v>
      </c>
      <c r="L1014">
        <v>36</v>
      </c>
      <c r="M1014" t="str">
        <f t="shared" si="15"/>
        <v xml:space="preserve">Middle Age </v>
      </c>
      <c r="N1014" t="s">
        <v>15</v>
      </c>
    </row>
    <row r="1015" spans="1:14" x14ac:dyDescent="0.25">
      <c r="A1015">
        <v>21564</v>
      </c>
      <c r="B1015" t="s">
        <v>37</v>
      </c>
      <c r="C1015" t="s">
        <v>38</v>
      </c>
      <c r="D1015" s="3">
        <v>80000</v>
      </c>
      <c r="E1015">
        <v>0</v>
      </c>
      <c r="F1015" t="s">
        <v>13</v>
      </c>
      <c r="G1015" t="s">
        <v>21</v>
      </c>
      <c r="H1015" t="s">
        <v>15</v>
      </c>
      <c r="I1015">
        <v>4</v>
      </c>
      <c r="J1015" t="s">
        <v>46</v>
      </c>
      <c r="K1015" t="s">
        <v>24</v>
      </c>
      <c r="L1015">
        <v>35</v>
      </c>
      <c r="M1015" t="str">
        <f t="shared" si="15"/>
        <v xml:space="preserve">Middle Age </v>
      </c>
      <c r="N1015" t="s">
        <v>18</v>
      </c>
    </row>
    <row r="1016" spans="1:14" x14ac:dyDescent="0.25">
      <c r="A1016">
        <v>19193</v>
      </c>
      <c r="B1016" t="s">
        <v>37</v>
      </c>
      <c r="C1016" t="s">
        <v>39</v>
      </c>
      <c r="D1016" s="3">
        <v>40000</v>
      </c>
      <c r="E1016">
        <v>2</v>
      </c>
      <c r="F1016" t="s">
        <v>19</v>
      </c>
      <c r="G1016" t="s">
        <v>20</v>
      </c>
      <c r="H1016" t="s">
        <v>15</v>
      </c>
      <c r="I1016">
        <v>0</v>
      </c>
      <c r="J1016" t="s">
        <v>26</v>
      </c>
      <c r="K1016" t="s">
        <v>17</v>
      </c>
      <c r="L1016">
        <v>35</v>
      </c>
      <c r="M1016" t="str">
        <f t="shared" si="15"/>
        <v xml:space="preserve">Middle Age </v>
      </c>
      <c r="N1016" t="s">
        <v>15</v>
      </c>
    </row>
    <row r="1017" spans="1:14" x14ac:dyDescent="0.25">
      <c r="A1017">
        <v>26412</v>
      </c>
      <c r="B1017" t="s">
        <v>36</v>
      </c>
      <c r="C1017" t="s">
        <v>38</v>
      </c>
      <c r="D1017" s="3">
        <v>80000</v>
      </c>
      <c r="E1017">
        <v>5</v>
      </c>
      <c r="F1017" t="s">
        <v>27</v>
      </c>
      <c r="G1017" t="s">
        <v>28</v>
      </c>
      <c r="H1017" t="s">
        <v>18</v>
      </c>
      <c r="I1017">
        <v>3</v>
      </c>
      <c r="J1017" t="s">
        <v>23</v>
      </c>
      <c r="K1017" t="s">
        <v>17</v>
      </c>
      <c r="L1017">
        <v>56</v>
      </c>
      <c r="M1017" t="str">
        <f t="shared" si="15"/>
        <v xml:space="preserve">old </v>
      </c>
      <c r="N1017" t="s">
        <v>18</v>
      </c>
    </row>
    <row r="1018" spans="1:14" x14ac:dyDescent="0.25">
      <c r="A1018">
        <v>27184</v>
      </c>
      <c r="B1018" t="s">
        <v>37</v>
      </c>
      <c r="C1018" t="s">
        <v>39</v>
      </c>
      <c r="D1018" s="3">
        <v>40000</v>
      </c>
      <c r="E1018">
        <v>2</v>
      </c>
      <c r="F1018" t="s">
        <v>19</v>
      </c>
      <c r="G1018" t="s">
        <v>20</v>
      </c>
      <c r="H1018" t="s">
        <v>18</v>
      </c>
      <c r="I1018">
        <v>1</v>
      </c>
      <c r="J1018" t="s">
        <v>16</v>
      </c>
      <c r="K1018" t="s">
        <v>17</v>
      </c>
      <c r="L1018">
        <v>34</v>
      </c>
      <c r="M1018" t="str">
        <f t="shared" si="15"/>
        <v xml:space="preserve">Middle Age </v>
      </c>
      <c r="N1018" t="s">
        <v>18</v>
      </c>
    </row>
    <row r="1019" spans="1:14" x14ac:dyDescent="0.25">
      <c r="A1019">
        <v>12590</v>
      </c>
      <c r="B1019" t="s">
        <v>37</v>
      </c>
      <c r="C1019" t="s">
        <v>39</v>
      </c>
      <c r="D1019" s="3">
        <v>30000</v>
      </c>
      <c r="E1019">
        <v>1</v>
      </c>
      <c r="F1019" t="s">
        <v>13</v>
      </c>
      <c r="G1019" t="s">
        <v>20</v>
      </c>
      <c r="H1019" t="s">
        <v>15</v>
      </c>
      <c r="I1019">
        <v>0</v>
      </c>
      <c r="J1019" t="s">
        <v>16</v>
      </c>
      <c r="K1019" t="s">
        <v>17</v>
      </c>
      <c r="L1019">
        <v>63</v>
      </c>
      <c r="M1019" t="str">
        <f t="shared" si="15"/>
        <v xml:space="preserve">old </v>
      </c>
      <c r="N1019" t="s">
        <v>18</v>
      </c>
    </row>
    <row r="1020" spans="1:14" x14ac:dyDescent="0.25">
      <c r="A1020">
        <v>17841</v>
      </c>
      <c r="B1020" t="s">
        <v>37</v>
      </c>
      <c r="C1020" t="s">
        <v>39</v>
      </c>
      <c r="D1020" s="3">
        <v>30000</v>
      </c>
      <c r="E1020">
        <v>0</v>
      </c>
      <c r="F1020" t="s">
        <v>19</v>
      </c>
      <c r="G1020" t="s">
        <v>20</v>
      </c>
      <c r="H1020" t="s">
        <v>18</v>
      </c>
      <c r="I1020">
        <v>1</v>
      </c>
      <c r="J1020" t="s">
        <v>16</v>
      </c>
      <c r="K1020" t="s">
        <v>17</v>
      </c>
      <c r="L1020">
        <v>29</v>
      </c>
      <c r="M1020" t="str">
        <f t="shared" si="15"/>
        <v xml:space="preserve">Adolescent </v>
      </c>
      <c r="N1020" t="s">
        <v>15</v>
      </c>
    </row>
    <row r="1021" spans="1:14" x14ac:dyDescent="0.25">
      <c r="A1021">
        <v>18283</v>
      </c>
      <c r="B1021" t="s">
        <v>37</v>
      </c>
      <c r="C1021" t="s">
        <v>38</v>
      </c>
      <c r="D1021" s="3">
        <v>100000</v>
      </c>
      <c r="E1021">
        <v>0</v>
      </c>
      <c r="F1021" t="s">
        <v>13</v>
      </c>
      <c r="G1021" t="s">
        <v>21</v>
      </c>
      <c r="H1021" t="s">
        <v>18</v>
      </c>
      <c r="I1021">
        <v>1</v>
      </c>
      <c r="J1021" t="s">
        <v>23</v>
      </c>
      <c r="K1021" t="s">
        <v>24</v>
      </c>
      <c r="L1021">
        <v>40</v>
      </c>
      <c r="M1021" t="str">
        <f t="shared" si="15"/>
        <v xml:space="preserve">Middle Age </v>
      </c>
      <c r="N1021" t="s">
        <v>18</v>
      </c>
    </row>
    <row r="1022" spans="1:14" x14ac:dyDescent="0.25">
      <c r="A1022">
        <v>18299</v>
      </c>
      <c r="B1022" t="s">
        <v>36</v>
      </c>
      <c r="C1022" t="s">
        <v>39</v>
      </c>
      <c r="D1022" s="3">
        <v>70000</v>
      </c>
      <c r="E1022">
        <v>5</v>
      </c>
      <c r="F1022" t="s">
        <v>19</v>
      </c>
      <c r="G1022" t="s">
        <v>14</v>
      </c>
      <c r="H1022" t="s">
        <v>15</v>
      </c>
      <c r="I1022">
        <v>2</v>
      </c>
      <c r="J1022" t="s">
        <v>23</v>
      </c>
      <c r="K1022" t="s">
        <v>24</v>
      </c>
      <c r="L1022">
        <v>44</v>
      </c>
      <c r="M1022" t="str">
        <f t="shared" si="15"/>
        <v xml:space="preserve">Middle Age </v>
      </c>
      <c r="N1022" t="s">
        <v>18</v>
      </c>
    </row>
    <row r="1023" spans="1:14" x14ac:dyDescent="0.25">
      <c r="A1023">
        <v>16466</v>
      </c>
      <c r="B1023" t="s">
        <v>37</v>
      </c>
      <c r="C1023" t="s">
        <v>38</v>
      </c>
      <c r="D1023" s="3">
        <v>20000</v>
      </c>
      <c r="E1023">
        <v>0</v>
      </c>
      <c r="F1023" t="s">
        <v>29</v>
      </c>
      <c r="G1023" t="s">
        <v>25</v>
      </c>
      <c r="H1023" t="s">
        <v>18</v>
      </c>
      <c r="I1023">
        <v>2</v>
      </c>
      <c r="J1023" t="s">
        <v>16</v>
      </c>
      <c r="K1023" t="s">
        <v>17</v>
      </c>
      <c r="L1023">
        <v>32</v>
      </c>
      <c r="M1023" t="str">
        <f t="shared" si="15"/>
        <v xml:space="preserve">Middle Age </v>
      </c>
      <c r="N1023" t="s">
        <v>15</v>
      </c>
    </row>
    <row r="1024" spans="1:14" x14ac:dyDescent="0.25">
      <c r="A1024">
        <v>19273</v>
      </c>
      <c r="B1024" t="s">
        <v>36</v>
      </c>
      <c r="C1024" t="s">
        <v>38</v>
      </c>
      <c r="D1024" s="3">
        <v>20000</v>
      </c>
      <c r="E1024">
        <v>2</v>
      </c>
      <c r="F1024" t="s">
        <v>19</v>
      </c>
      <c r="G1024" t="s">
        <v>25</v>
      </c>
      <c r="H1024" t="s">
        <v>15</v>
      </c>
      <c r="I1024">
        <v>0</v>
      </c>
      <c r="J1024" t="s">
        <v>16</v>
      </c>
      <c r="K1024" t="s">
        <v>17</v>
      </c>
      <c r="L1024">
        <v>63</v>
      </c>
      <c r="M1024" t="str">
        <f t="shared" si="15"/>
        <v xml:space="preserve">old </v>
      </c>
      <c r="N1024" t="s">
        <v>18</v>
      </c>
    </row>
    <row r="1025" spans="1:14" x14ac:dyDescent="0.25">
      <c r="A1025">
        <v>22400</v>
      </c>
      <c r="B1025" t="s">
        <v>36</v>
      </c>
      <c r="C1025" t="s">
        <v>39</v>
      </c>
      <c r="D1025" s="3">
        <v>10000</v>
      </c>
      <c r="E1025">
        <v>0</v>
      </c>
      <c r="F1025" t="s">
        <v>19</v>
      </c>
      <c r="G1025" t="s">
        <v>25</v>
      </c>
      <c r="H1025" t="s">
        <v>18</v>
      </c>
      <c r="I1025">
        <v>1</v>
      </c>
      <c r="J1025" t="s">
        <v>16</v>
      </c>
      <c r="K1025" t="s">
        <v>24</v>
      </c>
      <c r="L1025">
        <v>26</v>
      </c>
      <c r="M1025" t="str">
        <f t="shared" si="15"/>
        <v xml:space="preserve">Adolescent </v>
      </c>
      <c r="N1025" t="s">
        <v>15</v>
      </c>
    </row>
    <row r="1026" spans="1:14" x14ac:dyDescent="0.25">
      <c r="A1026">
        <v>20942</v>
      </c>
      <c r="B1026" t="s">
        <v>37</v>
      </c>
      <c r="C1026" t="s">
        <v>38</v>
      </c>
      <c r="D1026" s="3">
        <v>20000</v>
      </c>
      <c r="E1026">
        <v>0</v>
      </c>
      <c r="F1026" t="s">
        <v>27</v>
      </c>
      <c r="G1026" t="s">
        <v>25</v>
      </c>
      <c r="H1026" t="s">
        <v>18</v>
      </c>
      <c r="I1026">
        <v>1</v>
      </c>
      <c r="J1026" t="s">
        <v>23</v>
      </c>
      <c r="K1026" t="s">
        <v>17</v>
      </c>
      <c r="L1026">
        <v>31</v>
      </c>
      <c r="M1026" t="str">
        <f t="shared" si="15"/>
        <v xml:space="preserve">Middle Age </v>
      </c>
      <c r="N1026" t="s">
        <v>18</v>
      </c>
    </row>
    <row r="1027" spans="1:14" x14ac:dyDescent="0.25">
      <c r="A1027">
        <v>18484</v>
      </c>
      <c r="B1027" t="s">
        <v>37</v>
      </c>
      <c r="C1027" t="s">
        <v>39</v>
      </c>
      <c r="D1027" s="3">
        <v>80000</v>
      </c>
      <c r="E1027">
        <v>2</v>
      </c>
      <c r="F1027" t="s">
        <v>27</v>
      </c>
      <c r="G1027" t="s">
        <v>14</v>
      </c>
      <c r="H1027" t="s">
        <v>18</v>
      </c>
      <c r="I1027">
        <v>2</v>
      </c>
      <c r="J1027" t="s">
        <v>26</v>
      </c>
      <c r="K1027" t="s">
        <v>24</v>
      </c>
      <c r="L1027">
        <v>50</v>
      </c>
      <c r="M1027" t="str">
        <f t="shared" ref="M1027" si="16">IF(L1027&gt;55,"old ",IF(L1027&gt;=31,"Middle Age ",IF(L1027&lt;31,"Adolescent ","Invalid")))</f>
        <v xml:space="preserve">Middle Age </v>
      </c>
      <c r="N1027" t="s">
        <v>15</v>
      </c>
    </row>
  </sheetData>
  <autoFilter ref="A1:N1027" xr:uid="{00B38E4C-8F76-460B-8FBB-5751C139280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3" sqref="D2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Working Sheet</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 Singh</dc:creator>
  <cp:lastModifiedBy>𝓐𝓿𝓲𝓷𝓪𝓼𝓱 .</cp:lastModifiedBy>
  <dcterms:created xsi:type="dcterms:W3CDTF">2022-03-18T02:50:57Z</dcterms:created>
  <dcterms:modified xsi:type="dcterms:W3CDTF">2025-04-29T18:19:53Z</dcterms:modified>
</cp:coreProperties>
</file>